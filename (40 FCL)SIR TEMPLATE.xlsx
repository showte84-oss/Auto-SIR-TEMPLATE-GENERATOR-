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5" rupBuild="29127"/>
  <workbookPr defaultThemeVersion="153222"/>
  <bookViews>
    <workbookView xWindow="-110" yWindow="-110" windowWidth="19420" windowHeight="10420" activeTab="0"/>
  </bookViews>
  <sheets>
    <sheet name="STUFFING REPORT" sheetId="1" r:id="rId1"/>
    <sheet name="WEIGHT LIST (SUMMARY)" sheetId="2" r:id="rId2"/>
    <sheet name="TALLY FORM" sheetId="3" r:id="rId3"/>
    <sheet name="VGM REPORT" sheetId="4" r:id="rId4"/>
    <sheet name="CTN SURVEY REPORT" sheetId="5" r:id="rId5"/>
  </sheets>
  <calcPr calcId="191028"/>
</workbook>
</file>

<file path=xl/sharedStrings.xml><?xml version="1.0" encoding="utf-8"?>
<sst xmlns="http://schemas.openxmlformats.org/spreadsheetml/2006/main" uniqueCount="181" count="181">
  <si>
    <t>Total Gross Weight</t>
  </si>
  <si>
    <t>CONTAINER STUFFING REPORT</t>
  </si>
  <si>
    <t>Job Ref :</t>
  </si>
  <si>
    <t>Departure from the office to loading point (time/date) :</t>
  </si>
  <si>
    <t xml:space="preserve">Shipper: </t>
  </si>
  <si>
    <t>Buyer:</t>
  </si>
  <si>
    <t>Commodity:</t>
  </si>
  <si>
    <t>Quantity:</t>
  </si>
  <si>
    <t>Packing:</t>
  </si>
  <si>
    <t>Place of inspection:</t>
  </si>
  <si>
    <t xml:space="preserve">Vessel: </t>
  </si>
  <si>
    <t>Destination:</t>
  </si>
  <si>
    <t xml:space="preserve">Inspector's name </t>
  </si>
  <si>
    <t>Container stuffing shift total:</t>
  </si>
  <si>
    <t>1 shift</t>
  </si>
  <si>
    <t>Type of weighment(%) :</t>
  </si>
  <si>
    <t>Size of CTN:</t>
  </si>
  <si>
    <t>20 feet</t>
  </si>
  <si>
    <t>No</t>
  </si>
  <si>
    <t>Container
Number</t>
  </si>
  <si>
    <t>Condition</t>
  </si>
  <si>
    <t>Commence</t>
  </si>
  <si>
    <t>Complete</t>
  </si>
  <si>
    <t>No.of Bags</t>
  </si>
  <si>
    <t>Gross(MT)</t>
  </si>
  <si>
    <t>Tare(MT)</t>
  </si>
  <si>
    <t>Container
 Seal Number</t>
  </si>
  <si>
    <t>Key No.</t>
  </si>
  <si>
    <t>Sound</t>
  </si>
  <si>
    <t>TOTAL</t>
  </si>
  <si>
    <t>Calibration Report</t>
  </si>
  <si>
    <t>Type of equipment :</t>
  </si>
  <si>
    <t>Digital Scale</t>
  </si>
  <si>
    <t>Equipment used :</t>
  </si>
  <si>
    <t>Client</t>
  </si>
  <si>
    <t>Test by SGS inspector :</t>
  </si>
  <si>
    <t>Yes</t>
  </si>
  <si>
    <t>Calibrated :</t>
  </si>
  <si>
    <t>Test before inspector :</t>
  </si>
  <si>
    <t>Calibration report present :</t>
  </si>
  <si>
    <t>Calibration found in order:</t>
  </si>
  <si>
    <t>Test weight :</t>
  </si>
  <si>
    <t>10 kg</t>
  </si>
  <si>
    <t>Test weight No :</t>
  </si>
  <si>
    <t>WEIGHT LIST (SUMMARY)</t>
  </si>
  <si>
    <t>Shipper Name :</t>
  </si>
  <si>
    <t>Commodity :</t>
  </si>
  <si>
    <t>Place of Inspection :</t>
  </si>
  <si>
    <t>Weight %</t>
  </si>
  <si>
    <t>Shipped Bags :</t>
  </si>
  <si>
    <t>Page No.</t>
  </si>
  <si>
    <t>Weighing Bags</t>
  </si>
  <si>
    <t>Unit
lbs/viss/kgs</t>
  </si>
  <si>
    <t>kgs</t>
  </si>
  <si>
    <t>Per Bag Gross kgs</t>
  </si>
  <si>
    <t>Total Gross MT :</t>
  </si>
  <si>
    <t>Per Bag Tare kgs</t>
  </si>
  <si>
    <t>Total Tare MT   :</t>
  </si>
  <si>
    <t>Per Bag Net kgs</t>
  </si>
  <si>
    <t>Total Net MT     :</t>
  </si>
  <si>
    <t>Additional Bags :</t>
  </si>
  <si>
    <t>Additional Net MT :</t>
  </si>
  <si>
    <t>Grand Total Net MT :</t>
  </si>
  <si>
    <t>TALLY FORM</t>
  </si>
  <si>
    <t>NAME OF VESSEL :</t>
  </si>
  <si>
    <t>QUALITY/CROP :</t>
  </si>
  <si>
    <t>DATE &amp; SHIFT :</t>
  </si>
  <si>
    <t>BALANCE :</t>
  </si>
  <si>
    <t>SHIPPER :</t>
  </si>
  <si>
    <t>SI NUMBER :</t>
  </si>
  <si>
    <t>HATCH NO.</t>
  </si>
  <si>
    <t>MARKING :</t>
  </si>
  <si>
    <t xml:space="preserve">As Per Attached </t>
  </si>
  <si>
    <t>NO</t>
  </si>
  <si>
    <t>TRUCK NO./
CONTAINER NO.</t>
  </si>
  <si>
    <t>NO OF BAGS PER SLING / NO OF BAGS PER ROW</t>
  </si>
  <si>
    <t>-</t>
  </si>
  <si>
    <t>Verified Gross Mass (VGM) Field Report</t>
  </si>
  <si>
    <t>Shipper :</t>
  </si>
  <si>
    <t>Place of inspection :</t>
  </si>
  <si>
    <t>Inspection Started on (Date &amp; Time)</t>
  </si>
  <si>
    <t>Date :</t>
  </si>
  <si>
    <t>Time :</t>
  </si>
  <si>
    <t>Vessel :</t>
  </si>
  <si>
    <t>Inspection Completed on (Date &amp; Time)</t>
  </si>
  <si>
    <t>Sr.</t>
  </si>
  <si>
    <t>Container Number</t>
  </si>
  <si>
    <t>Number of
Bags in Container</t>
  </si>
  <si>
    <t>Per bag Gross
Weight (kgs)</t>
  </si>
  <si>
    <t>Total Gorss
Weight of the
Cargo (kgs)</t>
  </si>
  <si>
    <t>Other Packages (kgs)</t>
  </si>
  <si>
    <t>Container Tare 
Weight (kgs)
(as declared at
the container)</t>
  </si>
  <si>
    <t>Total Weigt 
(kgs)</t>
  </si>
  <si>
    <t>Seal</t>
  </si>
  <si>
    <t>CONTAINER SURVEY REPORT</t>
  </si>
  <si>
    <t>CLIENT         :</t>
  </si>
  <si>
    <t>JOB ORDER NO:</t>
  </si>
  <si>
    <t>COMMODITY:</t>
  </si>
  <si>
    <t>LOCATION :</t>
  </si>
  <si>
    <t>QUANTITY :</t>
  </si>
  <si>
    <t>DATE :</t>
  </si>
  <si>
    <t>Sr No.</t>
  </si>
  <si>
    <t>Hole (or)
Dented</t>
  </si>
  <si>
    <t>Floor
Type</t>
  </si>
  <si>
    <t>Floor
Damage</t>
  </si>
  <si>
    <t>Free of 
Odour</t>
  </si>
  <si>
    <t>Free of 
Infestation</t>
  </si>
  <si>
    <t>Clean &amp;
Dry</t>
  </si>
  <si>
    <t>Color</t>
  </si>
  <si>
    <t>Size of 
Container</t>
  </si>
  <si>
    <t>Type of
Container</t>
  </si>
  <si>
    <t>Suitable for 
Stuffing</t>
  </si>
  <si>
    <t>Wood</t>
  </si>
  <si>
    <t>20'</t>
  </si>
  <si>
    <t>Steel</t>
  </si>
  <si>
    <r>
      <rPr>
        <b/>
        <sz val="11"/>
        <rFont val="Calibri"/>
      </rPr>
      <t>ADDITIONAL (Bags)</t>
    </r>
  </si>
  <si>
    <t>Arival (time/ date ) :</t>
  </si>
  <si>
    <t>7:00 Hrs</t>
  </si>
  <si>
    <t>14:30 Hrs</t>
  </si>
  <si>
    <t xml:space="preserve">BY CONTAINER </t>
  </si>
  <si>
    <t xml:space="preserve">Additional 
Weight </t>
  </si>
  <si>
    <r>
      <rPr>
        <sz val="11"/>
        <rFont val="Calibri"/>
      </rPr>
      <t>14:30</t>
    </r>
  </si>
  <si>
    <r>
      <rPr>
        <sz val="11"/>
        <rFont val="Calibri"/>
      </rPr>
      <t>15:30</t>
    </r>
  </si>
  <si>
    <r>
      <rPr>
        <sz val="11"/>
        <rFont val="Calibri"/>
      </rPr>
      <t>14:30</t>
    </r>
  </si>
  <si>
    <r>
      <rPr>
        <sz val="11"/>
        <rFont val="Calibri"/>
      </rPr>
      <t>15:30</t>
    </r>
  </si>
  <si>
    <r>
      <rPr>
        <sz val="11"/>
        <rFont val="Calibri"/>
      </rPr>
      <t>14:30</t>
    </r>
  </si>
  <si>
    <r>
      <rPr>
        <sz val="11"/>
        <rFont val="Calibri"/>
      </rPr>
      <t>15:30</t>
    </r>
  </si>
  <si>
    <r>
      <rPr>
        <sz val="11"/>
        <rFont val="Calibri"/>
      </rPr>
      <t>15:30</t>
    </r>
  </si>
  <si>
    <r>
      <rPr>
        <sz val="11"/>
        <rFont val="Calibri"/>
      </rPr>
      <t>16:30</t>
    </r>
  </si>
  <si>
    <r>
      <rPr>
        <sz val="11"/>
        <rFont val="Calibri"/>
      </rPr>
      <t>15:30</t>
    </r>
  </si>
  <si>
    <r>
      <rPr>
        <sz val="11"/>
        <rFont val="Calibri"/>
      </rPr>
      <t>16:30</t>
    </r>
  </si>
  <si>
    <r>
      <rPr>
        <sz val="11"/>
        <rFont val="Calibri"/>
      </rPr>
      <t>15:30</t>
    </r>
  </si>
  <si>
    <r>
      <rPr>
        <sz val="11"/>
        <rFont val="Calibri"/>
      </rPr>
      <t>16:30</t>
    </r>
  </si>
  <si>
    <r>
      <rPr>
        <sz val="11"/>
        <rFont val="Calibri"/>
      </rPr>
      <t>16:30</t>
    </r>
  </si>
  <si>
    <r>
      <rPr>
        <sz val="11"/>
        <rFont val="Calibri"/>
      </rPr>
      <t>18:00</t>
    </r>
  </si>
  <si>
    <r>
      <rPr>
        <sz val="11"/>
        <rFont val="Calibri"/>
      </rPr>
      <t>16:30</t>
    </r>
  </si>
  <si>
    <r>
      <rPr>
        <sz val="11"/>
        <rFont val="Calibri"/>
      </rPr>
      <t>18:00</t>
    </r>
  </si>
  <si>
    <r>
      <rPr>
        <sz val="11"/>
        <rFont val="Calibri"/>
      </rPr>
      <t>16:30</t>
    </r>
  </si>
  <si>
    <r>
      <rPr>
        <sz val="11"/>
        <rFont val="Calibri"/>
      </rPr>
      <t>18:00</t>
    </r>
  </si>
  <si>
    <r>
      <rPr>
        <sz val="11"/>
        <rFont val="Calibri"/>
      </rPr>
      <t>16:30</t>
    </r>
  </si>
  <si>
    <r>
      <rPr>
        <sz val="11"/>
        <rFont val="Calibri"/>
      </rPr>
      <t>18:00</t>
    </r>
  </si>
  <si>
    <r>
      <rPr>
        <sz val="11"/>
        <rFont val="Calibri"/>
      </rPr>
      <t>09:00</t>
    </r>
  </si>
  <si>
    <r>
      <rPr>
        <sz val="11"/>
        <rFont val="Calibri"/>
      </rPr>
      <t>10:00</t>
    </r>
  </si>
  <si>
    <r>
      <rPr>
        <sz val="11"/>
        <rFont val="Calibri"/>
      </rPr>
      <t>09:00</t>
    </r>
  </si>
  <si>
    <r>
      <rPr>
        <sz val="11"/>
        <rFont val="Calibri"/>
      </rPr>
      <t>10:00</t>
    </r>
  </si>
  <si>
    <r>
      <rPr>
        <sz val="11"/>
        <rFont val="Calibri"/>
      </rPr>
      <t>09:00</t>
    </r>
  </si>
  <si>
    <r>
      <rPr>
        <sz val="11"/>
        <rFont val="Calibri"/>
      </rPr>
      <t>10:00</t>
    </r>
  </si>
  <si>
    <r>
      <rPr>
        <sz val="11"/>
        <rFont val="Calibri"/>
      </rPr>
      <t>10:00</t>
    </r>
  </si>
  <si>
    <r>
      <rPr>
        <sz val="11"/>
        <rFont val="Calibri"/>
      </rPr>
      <t>11:00</t>
    </r>
  </si>
  <si>
    <r>
      <rPr>
        <sz val="11"/>
        <rFont val="Calibri"/>
      </rPr>
      <t>10:00</t>
    </r>
  </si>
  <si>
    <r>
      <rPr>
        <sz val="11"/>
        <rFont val="Calibri"/>
      </rPr>
      <t>11:00</t>
    </r>
  </si>
  <si>
    <r>
      <rPr>
        <sz val="11"/>
        <rFont val="Calibri"/>
      </rPr>
      <t>10:00</t>
    </r>
  </si>
  <si>
    <r>
      <rPr>
        <sz val="11"/>
        <rFont val="Calibri"/>
      </rPr>
      <t>11:00</t>
    </r>
  </si>
  <si>
    <r>
      <rPr>
        <sz val="11"/>
        <rFont val="Calibri"/>
      </rPr>
      <t>11:00</t>
    </r>
  </si>
  <si>
    <r>
      <rPr>
        <sz val="11"/>
        <rFont val="Calibri"/>
      </rPr>
      <t>12:00</t>
    </r>
  </si>
  <si>
    <r>
      <rPr>
        <sz val="11"/>
        <rFont val="Calibri"/>
      </rPr>
      <t>11:00</t>
    </r>
  </si>
  <si>
    <r>
      <rPr>
        <sz val="11"/>
        <rFont val="Calibri"/>
      </rPr>
      <t>12:00</t>
    </r>
  </si>
  <si>
    <r>
      <rPr>
        <sz val="11"/>
        <rFont val="Calibri"/>
      </rPr>
      <t>12:00</t>
    </r>
  </si>
  <si>
    <r>
      <rPr>
        <sz val="11"/>
        <rFont val="Calibri"/>
      </rPr>
      <t>13:00</t>
    </r>
  </si>
  <si>
    <r>
      <rPr>
        <sz val="11"/>
        <rFont val="Calibri"/>
      </rPr>
      <t>12:00</t>
    </r>
  </si>
  <si>
    <r>
      <rPr>
        <sz val="11"/>
        <rFont val="Calibri"/>
      </rPr>
      <t>13:00</t>
    </r>
  </si>
  <si>
    <r>
      <rPr>
        <sz val="11"/>
        <rFont val="Calibri"/>
      </rPr>
      <t>13:00</t>
    </r>
  </si>
  <si>
    <r>
      <rPr>
        <sz val="11"/>
        <rFont val="Calibri"/>
      </rPr>
      <t>14:00</t>
    </r>
  </si>
  <si>
    <r>
      <rPr>
        <sz val="11"/>
        <rFont val="Calibri"/>
      </rPr>
      <t>13:00</t>
    </r>
  </si>
  <si>
    <r>
      <rPr>
        <sz val="11"/>
        <rFont val="Calibri"/>
      </rPr>
      <t>14:00</t>
    </r>
  </si>
  <si>
    <r>
      <rPr>
        <sz val="11"/>
        <rFont val="Calibri"/>
      </rPr>
      <t>14:00</t>
    </r>
  </si>
  <si>
    <r>
      <rPr>
        <sz val="11"/>
        <rFont val="Calibri"/>
      </rPr>
      <t>15:00</t>
    </r>
  </si>
  <si>
    <r>
      <rPr>
        <sz val="11"/>
        <rFont val="Calibri"/>
      </rPr>
      <t>14:00</t>
    </r>
  </si>
  <si>
    <r>
      <rPr>
        <sz val="11"/>
        <rFont val="Calibri"/>
      </rPr>
      <t>15:00</t>
    </r>
  </si>
  <si>
    <r>
      <rPr>
        <sz val="11"/>
        <rFont val="Calibri"/>
      </rPr>
      <t>15:00</t>
    </r>
  </si>
  <si>
    <r>
      <rPr>
        <sz val="11"/>
        <rFont val="Calibri"/>
      </rPr>
      <t>16:30</t>
    </r>
  </si>
  <si>
    <r>
      <rPr>
        <sz val="11"/>
        <rFont val="Calibri"/>
      </rPr>
      <t>15:00</t>
    </r>
  </si>
  <si>
    <r>
      <rPr>
        <sz val="11"/>
        <rFont val="Calibri"/>
      </rPr>
      <t>16:30</t>
    </r>
  </si>
  <si>
    <r>
      <rPr>
        <sz val="11"/>
        <rFont val="Calibri"/>
      </rPr>
      <t>15:00</t>
    </r>
  </si>
  <si>
    <r>
      <rPr>
        <sz val="11"/>
        <rFont val="Calibri"/>
      </rPr>
      <t>16:30</t>
    </r>
  </si>
  <si>
    <r>
      <rPr>
        <sz val="11"/>
        <rFont val="Calibri"/>
      </rPr>
      <t>16:30</t>
    </r>
  </si>
  <si>
    <r>
      <rPr>
        <sz val="11"/>
        <rFont val="Calibri"/>
      </rPr>
      <t>18:00</t>
    </r>
  </si>
  <si>
    <r>
      <rPr>
        <sz val="11"/>
        <rFont val="Calibri"/>
      </rPr>
      <t>16:30</t>
    </r>
  </si>
  <si>
    <r>
      <rPr>
        <sz val="11"/>
        <rFont val="Calibri"/>
      </rPr>
      <t>18:00</t>
    </r>
  </si>
  <si>
    <r>
      <rPr>
        <sz val="11"/>
        <rFont val="Calibri"/>
      </rPr>
      <t>16:30</t>
    </r>
  </si>
  <si>
    <r>
      <rPr>
        <sz val="11"/>
        <rFont val="Calibri"/>
      </rPr>
      <t>18:00</t>
    </r>
  </si>
</sst>
</file>

<file path=xl/styles.xml><?xml version="1.0" encoding="utf-8"?>
<styleSheet xmlns="http://schemas.openxmlformats.org/spreadsheetml/2006/main">
  <numFmts count="6">
    <numFmt numFmtId="0" formatCode="General"/>
    <numFmt numFmtId="165" formatCode="dd/mm/yyyy"/>
    <numFmt numFmtId="9" formatCode="0%"/>
    <numFmt numFmtId="20" formatCode="h:mm"/>
    <numFmt numFmtId="14" formatCode="m/d/yyyy"/>
    <numFmt numFmtId="164" formatCode="dd/mm/yyyy;@"/>
  </numFmts>
  <fonts count="12">
    <font>
      <name val="Calibri"/>
      <sz val="11"/>
    </font>
    <font>
      <name val="Calibri"/>
      <b/>
      <charset val="134"/>
      <sz val="16"/>
    </font>
    <font>
      <name val="Calibri"/>
      <charset val="134"/>
      <sz val="11"/>
    </font>
    <font>
      <name val="Calibri"/>
      <charset val="134"/>
      <sz val="11"/>
    </font>
    <font>
      <name val="Calibri"/>
      <b/>
      <charset val="134"/>
      <sz val="11"/>
    </font>
    <font>
      <name val="Calibri"/>
      <sz val="11"/>
    </font>
    <font>
      <name val="Calibri"/>
      <b/>
      <charset val="134"/>
      <u/>
      <sz val="11"/>
    </font>
    <font>
      <name val="Calibri"/>
      <b/>
      <charset val="134"/>
      <sz val="12"/>
    </font>
    <font>
      <name val="Calibri"/>
      <b/>
      <charset val="134"/>
      <sz val="14"/>
    </font>
    <font>
      <name val="Calibri"/>
      <b/>
      <sz val="11"/>
    </font>
    <font>
      <name val="Calibri"/>
      <sz val="11"/>
    </font>
    <font>
      <name val="Calibri"/>
      <sz val="11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left" vertical="center" inden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left" vertical="center"/>
    </xf>
    <xf numFmtId="0" fontId="4" fillId="0" borderId="9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/>
    </xf>
    <xf numFmtId="20" fontId="5" fillId="2" borderId="9" xfId="0" applyNumberFormat="1" applyFont="1" applyFill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5" fillId="2" borderId="9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4" fillId="0" borderId="11" xfId="0" applyFont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2" fillId="0" borderId="9" xfId="0" applyFont="1" applyBorder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8" xfId="0" applyFont="1" applyBorder="1">
      <alignment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>
      <alignment vertical="center"/>
    </xf>
    <xf numFmtId="0" fontId="2" fillId="0" borderId="18" xfId="0" applyFont="1" applyBorder="1">
      <alignment vertical="center"/>
    </xf>
    <xf numFmtId="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left" vertical="center" indent="1"/>
    </xf>
    <xf numFmtId="0" fontId="2" fillId="0" borderId="15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9" fillId="2" borderId="9" xfId="0" applyNumberFormat="1" applyFont="1" applyFill="1" applyBorder="1" applyAlignment="1">
      <alignment horizontal="center" vertical="center" wrapText="1"/>
    </xf>
    <xf numFmtId="0" fontId="2" fillId="0" borderId="19" xfId="0" applyFont="1" applyBorder="1">
      <alignment vertical="center"/>
    </xf>
    <xf numFmtId="0" fontId="9" fillId="2" borderId="10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20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left" vertical="center" indent="1"/>
    </xf>
    <xf numFmtId="164" fontId="2" fillId="0" borderId="15" xfId="0" applyNumberFormat="1" applyFont="1" applyBorder="1" applyAlignment="1">
      <alignment horizontal="left" vertical="center" indent="1"/>
    </xf>
    <xf numFmtId="164" fontId="2" fillId="0" borderId="2" xfId="0" applyNumberFormat="1" applyFont="1" applyBorder="1" applyAlignment="1">
      <alignment horizontal="left" vertical="center" indent="1"/>
    </xf>
    <xf numFmtId="0" fontId="10" fillId="0" borderId="0" xfId="0" applyFont="1" applyAlignment="1">
      <alignment horizontal="left"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www.wps.cn/officeDocument/2020/cellImage" Target="cellimages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R68"/>
  <sheetViews>
    <sheetView tabSelected="1" workbookViewId="0" zoomScale="49">
      <selection activeCell="F6" sqref="F6:H6"/>
    </sheetView>
  </sheetViews>
  <sheetFormatPr defaultRowHeight="15.0" customHeight="1" defaultColWidth="13"/>
  <cols>
    <col min="1" max="1" customWidth="1" width="3.765625" style="0"/>
    <col min="2" max="2" customWidth="1" width="19.234375" style="0"/>
    <col min="3" max="3" customWidth="1" width="8.7421875" style="0"/>
    <col min="4" max="4" customWidth="1" width="13.449219" style="0"/>
    <col min="5" max="5" customWidth="1" width="12.105469" style="0"/>
    <col min="6" max="6" customWidth="1" width="12.375" style="0"/>
    <col min="7" max="7" customWidth="1" width="11.433594" style="0"/>
    <col min="8" max="8" customWidth="1" width="10.4921875" style="0"/>
    <col min="9" max="9" customWidth="1" width="11.972656" style="0"/>
    <col min="10" max="11" customWidth="1" width="8.7421875" style="0"/>
  </cols>
  <sheetData>
    <row r="2" spans="8:8" ht="21.0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</row>
    <row r="5" spans="8:8" ht="18.0" customHeight="1">
      <c r="A5" s="3" t="s">
        <v>2</v>
      </c>
      <c r="B5" s="3"/>
      <c r="C5" s="3"/>
      <c r="D5" s="3"/>
      <c r="E5" s="4"/>
      <c r="F5" s="4"/>
      <c r="G5" s="4"/>
      <c r="H5" s="4"/>
      <c r="I5" s="5"/>
      <c r="J5" s="6"/>
    </row>
    <row r="6" spans="8:8" ht="18.0" customHeight="1">
      <c r="A6" s="3" t="s">
        <v>3</v>
      </c>
      <c r="B6" s="3"/>
      <c r="C6" s="3"/>
      <c r="D6" s="3"/>
      <c r="E6" s="7" t="s">
        <v>117</v>
      </c>
      <c r="F6" s="8">
        <v>45784.0</v>
      </c>
      <c r="G6" s="8"/>
      <c r="H6" s="8"/>
      <c r="I6" s="9" t="s">
        <v>72</v>
      </c>
      <c r="J6" s="10"/>
    </row>
    <row r="7" spans="8:8" ht="18.0" customHeight="1">
      <c r="A7" s="3" t="s">
        <v>116</v>
      </c>
      <c r="B7" s="3"/>
      <c r="C7" s="3"/>
      <c r="D7" s="3"/>
      <c r="E7" s="7" t="s">
        <v>118</v>
      </c>
      <c r="F7" s="8">
        <v>45785.0</v>
      </c>
      <c r="G7" s="8"/>
      <c r="H7" s="8"/>
      <c r="I7" s="11"/>
      <c r="J7" s="12"/>
    </row>
    <row r="8" spans="8:8" ht="18.0" customHeight="1">
      <c r="A8" s="3" t="s">
        <v>4</v>
      </c>
      <c r="B8" s="3"/>
      <c r="C8" s="3"/>
      <c r="D8" s="3"/>
      <c r="E8" s="4"/>
      <c r="F8" s="4"/>
      <c r="G8" s="4"/>
      <c r="H8" s="4"/>
      <c r="I8" s="11"/>
      <c r="J8" s="12"/>
    </row>
    <row r="9" spans="8:8" ht="18.0" customHeight="1">
      <c r="A9" s="3" t="s">
        <v>5</v>
      </c>
      <c r="B9" s="3"/>
      <c r="C9" s="3"/>
      <c r="D9" s="3"/>
      <c r="E9" s="4"/>
      <c r="F9" s="4"/>
      <c r="G9" s="4"/>
      <c r="H9" s="4"/>
      <c r="I9" s="11"/>
      <c r="J9" s="12"/>
    </row>
    <row r="10" spans="8:8" ht="18.0" customHeight="1">
      <c r="A10" s="3" t="s">
        <v>6</v>
      </c>
      <c r="B10" s="3"/>
      <c r="C10" s="3"/>
      <c r="D10" s="3"/>
      <c r="E10" s="4"/>
      <c r="F10" s="4"/>
      <c r="G10" s="4"/>
      <c r="H10" s="4"/>
      <c r="I10" s="11"/>
      <c r="J10" s="12"/>
    </row>
    <row r="11" spans="8:8" ht="18.0" customHeight="1">
      <c r="A11" s="3" t="s">
        <v>7</v>
      </c>
      <c r="B11" s="3"/>
      <c r="C11" s="3"/>
      <c r="D11" s="3"/>
      <c r="E11" s="4"/>
      <c r="F11" s="4"/>
      <c r="G11" s="4"/>
      <c r="H11" s="4"/>
      <c r="I11" s="11"/>
      <c r="J11" s="12"/>
    </row>
    <row r="12" spans="8:8" ht="18.0" customHeight="1">
      <c r="A12" s="3" t="s">
        <v>8</v>
      </c>
      <c r="B12" s="3"/>
      <c r="C12" s="3"/>
      <c r="D12" s="3"/>
      <c r="E12" s="13"/>
      <c r="F12" s="13"/>
      <c r="G12" s="13"/>
      <c r="H12" s="13"/>
      <c r="I12" s="11"/>
      <c r="J12" s="12"/>
    </row>
    <row r="13" spans="8:8" ht="18.0" customHeight="1">
      <c r="A13" s="3" t="s">
        <v>9</v>
      </c>
      <c r="B13" s="3"/>
      <c r="C13" s="3"/>
      <c r="D13" s="3"/>
      <c r="E13" s="14"/>
      <c r="F13" s="14"/>
      <c r="G13" s="14"/>
      <c r="H13" s="14"/>
      <c r="I13" s="14"/>
      <c r="J13" s="14"/>
    </row>
    <row r="14" spans="8:8" ht="18.0" customHeight="1">
      <c r="A14" s="3" t="s">
        <v>10</v>
      </c>
      <c r="B14" s="3"/>
      <c r="C14" s="3"/>
      <c r="D14" s="3"/>
      <c r="E14" s="14"/>
      <c r="F14" s="14"/>
      <c r="G14" s="14"/>
      <c r="H14" s="14"/>
      <c r="I14" s="14"/>
      <c r="J14" s="14"/>
    </row>
    <row r="15" spans="8:8" ht="18.0" customHeight="1">
      <c r="A15" s="3" t="s">
        <v>11</v>
      </c>
      <c r="B15" s="3"/>
      <c r="C15" s="3"/>
      <c r="D15" s="3"/>
      <c r="E15" s="14"/>
      <c r="F15" s="14"/>
      <c r="G15" s="14"/>
      <c r="H15" s="14"/>
      <c r="I15" s="14"/>
      <c r="J15" s="14"/>
    </row>
    <row r="16" spans="8:8" ht="18.0" customHeight="1">
      <c r="A16" s="3" t="s">
        <v>12</v>
      </c>
      <c r="B16" s="3"/>
      <c r="C16" s="3"/>
      <c r="D16" s="3"/>
      <c r="E16" s="15"/>
      <c r="F16" s="15"/>
      <c r="G16" s="15"/>
      <c r="H16" s="15"/>
      <c r="I16" s="15"/>
      <c r="J16" s="15"/>
    </row>
    <row r="17" spans="8:8" ht="21.95" customHeight="1">
      <c r="A17" s="16"/>
      <c r="B17" s="2"/>
      <c r="C17" s="2"/>
      <c r="D17" s="2"/>
      <c r="E17" s="17"/>
      <c r="F17" s="18"/>
      <c r="G17" s="17"/>
      <c r="H17" s="17"/>
      <c r="I17" s="17"/>
      <c r="J17" s="17"/>
    </row>
    <row r="18" spans="8:8" ht="15.0">
      <c r="A18" s="19" t="s">
        <v>13</v>
      </c>
      <c r="B18" s="19"/>
      <c r="C18" s="19"/>
      <c r="D18" s="20" t="s">
        <v>14</v>
      </c>
      <c r="E18" s="19" t="s">
        <v>15</v>
      </c>
      <c r="F18" s="19"/>
      <c r="G18" s="21">
        <v>0.1</v>
      </c>
      <c r="H18" s="19" t="s">
        <v>16</v>
      </c>
      <c r="I18" s="22" t="s">
        <v>17</v>
      </c>
      <c r="J18" s="6"/>
    </row>
    <row r="20" spans="8:8" ht="30.0" customHeight="1">
      <c r="A20" s="23" t="s">
        <v>18</v>
      </c>
      <c r="B20" s="24" t="s">
        <v>19</v>
      </c>
      <c r="C20" s="23" t="s">
        <v>20</v>
      </c>
      <c r="D20" s="23" t="s">
        <v>21</v>
      </c>
      <c r="E20" s="23" t="s">
        <v>22</v>
      </c>
      <c r="F20" s="23" t="s">
        <v>23</v>
      </c>
      <c r="G20" s="23" t="s">
        <v>24</v>
      </c>
      <c r="H20" s="23" t="s">
        <v>25</v>
      </c>
      <c r="I20" s="24" t="s">
        <v>26</v>
      </c>
      <c r="J20" s="23" t="s">
        <v>27</v>
      </c>
    </row>
    <row r="21" spans="8:8" ht="15.0" customHeight="1">
      <c r="A21" s="20">
        <v>1.0</v>
      </c>
      <c r="B21" s="25"/>
      <c r="C21" s="20" t="s">
        <v>28</v>
      </c>
      <c r="D21" s="26"/>
      <c r="E21" s="26"/>
      <c r="F21" s="20">
        <v>500.0</v>
      </c>
      <c r="G21" s="20"/>
      <c r="H21" s="20"/>
      <c r="I21" s="20"/>
      <c r="J21" s="20"/>
    </row>
    <row r="22" spans="8:8" ht="15.0" customHeight="1">
      <c r="A22" s="20">
        <v>2.0</v>
      </c>
      <c r="B22" s="25"/>
      <c r="C22" s="20" t="s">
        <v>28</v>
      </c>
      <c r="D22" s="26"/>
      <c r="E22" s="26"/>
      <c r="F22" s="20">
        <v>500.0</v>
      </c>
      <c r="G22" s="20"/>
      <c r="H22" s="20"/>
      <c r="I22" s="20"/>
      <c r="J22" s="20"/>
    </row>
    <row r="23" spans="8:8" ht="15.0" customHeight="1">
      <c r="A23" s="20">
        <v>3.0</v>
      </c>
      <c r="B23" s="25"/>
      <c r="C23" s="20" t="s">
        <v>28</v>
      </c>
      <c r="D23" s="26"/>
      <c r="E23" s="26"/>
      <c r="F23" s="20">
        <v>500.0</v>
      </c>
      <c r="G23" s="20"/>
      <c r="H23" s="20"/>
      <c r="I23" s="20"/>
      <c r="J23" s="20"/>
    </row>
    <row r="24" spans="8:8" ht="15.0" customHeight="1">
      <c r="A24" s="20">
        <v>4.0</v>
      </c>
      <c r="B24" s="25"/>
      <c r="C24" s="20" t="s">
        <v>28</v>
      </c>
      <c r="D24" s="26"/>
      <c r="E24" s="26"/>
      <c r="F24" s="20">
        <v>500.0</v>
      </c>
      <c r="G24" s="20"/>
      <c r="H24" s="20"/>
      <c r="I24" s="20"/>
      <c r="J24" s="20"/>
    </row>
    <row r="25" spans="8:8" ht="15.0" customHeight="1">
      <c r="A25" s="20">
        <v>5.0</v>
      </c>
      <c r="B25" s="25"/>
      <c r="C25" s="20" t="s">
        <v>28</v>
      </c>
      <c r="D25" s="26"/>
      <c r="E25" s="26"/>
      <c r="F25" s="20">
        <v>500.0</v>
      </c>
      <c r="G25" s="20"/>
      <c r="H25" s="20"/>
      <c r="I25" s="20"/>
      <c r="J25" s="20"/>
    </row>
    <row r="26" spans="8:8" ht="15.0" customHeight="1">
      <c r="A26" s="20">
        <v>6.0</v>
      </c>
      <c r="B26" s="25"/>
      <c r="C26" s="20" t="s">
        <v>28</v>
      </c>
      <c r="D26" s="26"/>
      <c r="E26" s="26"/>
      <c r="F26" s="20">
        <v>500.0</v>
      </c>
      <c r="G26" s="20"/>
      <c r="H26" s="20"/>
      <c r="I26" s="20"/>
      <c r="J26" s="27"/>
    </row>
    <row r="27" spans="8:8" ht="15.0" customHeight="1">
      <c r="A27" s="20">
        <v>7.0</v>
      </c>
      <c r="B27" s="25"/>
      <c r="C27" s="20" t="s">
        <v>28</v>
      </c>
      <c r="D27" s="26"/>
      <c r="E27" s="26"/>
      <c r="F27" s="20">
        <v>500.0</v>
      </c>
      <c r="G27" s="20"/>
      <c r="H27" s="20"/>
      <c r="I27" s="20"/>
      <c r="J27" s="27"/>
    </row>
    <row r="28" spans="8:8" ht="15.0" customHeight="1">
      <c r="A28" s="20">
        <v>8.0</v>
      </c>
      <c r="B28" s="25"/>
      <c r="C28" s="20" t="s">
        <v>28</v>
      </c>
      <c r="D28" s="26"/>
      <c r="E28" s="26"/>
      <c r="F28" s="20">
        <v>500.0</v>
      </c>
      <c r="G28" s="20"/>
      <c r="H28" s="20"/>
      <c r="I28" s="20"/>
      <c r="J28" s="27"/>
    </row>
    <row r="29" spans="8:8" ht="15.0" customHeight="1">
      <c r="A29" s="20">
        <v>9.0</v>
      </c>
      <c r="B29" s="25"/>
      <c r="C29" s="20" t="s">
        <v>28</v>
      </c>
      <c r="D29" s="26"/>
      <c r="E29" s="26"/>
      <c r="F29" s="20">
        <v>500.0</v>
      </c>
      <c r="G29" s="20"/>
      <c r="H29" s="20"/>
      <c r="I29" s="20"/>
      <c r="J29" s="27"/>
    </row>
    <row r="30" spans="8:8" ht="15.0" customHeight="1">
      <c r="A30" s="20">
        <v>10.0</v>
      </c>
      <c r="B30" s="25"/>
      <c r="C30" s="20" t="s">
        <v>28</v>
      </c>
      <c r="D30" s="26"/>
      <c r="E30" s="26"/>
      <c r="F30" s="20">
        <v>500.0</v>
      </c>
      <c r="G30" s="20"/>
      <c r="H30" s="20"/>
      <c r="I30" s="20"/>
      <c r="J30" s="27"/>
    </row>
    <row r="31" spans="8:8" ht="15.0" customHeight="1">
      <c r="A31" s="20">
        <v>11.0</v>
      </c>
      <c r="B31" s="25"/>
      <c r="C31" s="20" t="s">
        <v>28</v>
      </c>
      <c r="D31" s="28"/>
      <c r="E31" s="28"/>
      <c r="F31" s="20">
        <v>500.0</v>
      </c>
      <c r="G31" s="20"/>
      <c r="H31" s="20"/>
      <c r="I31" s="20"/>
      <c r="J31" s="27"/>
    </row>
    <row r="32" spans="8:8" ht="15.0" customHeight="1">
      <c r="A32" s="20">
        <v>12.0</v>
      </c>
      <c r="B32" s="25"/>
      <c r="C32" s="20" t="s">
        <v>28</v>
      </c>
      <c r="D32" s="28"/>
      <c r="E32" s="28"/>
      <c r="F32" s="20">
        <v>500.0</v>
      </c>
      <c r="G32" s="20"/>
      <c r="H32" s="20"/>
      <c r="I32" s="20"/>
      <c r="J32" s="27"/>
    </row>
    <row r="33" spans="8:8" ht="15.0" customHeight="1">
      <c r="A33" s="20">
        <v>13.0</v>
      </c>
      <c r="B33" s="25"/>
      <c r="C33" s="20" t="s">
        <v>28</v>
      </c>
      <c r="D33" s="28"/>
      <c r="E33" s="28"/>
      <c r="F33" s="20">
        <v>500.0</v>
      </c>
      <c r="G33" s="20"/>
      <c r="H33" s="20"/>
      <c r="I33" s="20"/>
      <c r="J33" s="27"/>
    </row>
    <row r="34" spans="8:8" ht="15.0" customHeight="1">
      <c r="A34" s="20">
        <v>14.0</v>
      </c>
      <c r="B34" s="25"/>
      <c r="C34" s="20" t="s">
        <v>28</v>
      </c>
      <c r="D34" s="28"/>
      <c r="E34" s="28"/>
      <c r="F34" s="20">
        <v>500.0</v>
      </c>
      <c r="G34" s="20"/>
      <c r="H34" s="20"/>
      <c r="I34" s="20"/>
      <c r="J34" s="27"/>
    </row>
    <row r="35" spans="8:8" ht="15.0" customHeight="1">
      <c r="A35" s="20">
        <v>15.0</v>
      </c>
      <c r="B35" s="25"/>
      <c r="C35" s="20" t="s">
        <v>28</v>
      </c>
      <c r="D35" s="29"/>
      <c r="E35" s="29"/>
      <c r="F35" s="20">
        <v>500.0</v>
      </c>
      <c r="G35" s="30"/>
      <c r="H35" s="20"/>
      <c r="I35" s="20"/>
      <c r="J35" s="31"/>
    </row>
    <row r="36" spans="8:8" ht="15.0" customHeight="1">
      <c r="A36" s="20">
        <v>16.0</v>
      </c>
      <c r="B36" s="25"/>
      <c r="C36" s="20" t="s">
        <v>28</v>
      </c>
      <c r="D36" s="29"/>
      <c r="E36" s="29"/>
      <c r="F36" s="20">
        <v>500.0</v>
      </c>
      <c r="G36" s="30"/>
      <c r="H36" s="20"/>
      <c r="I36" s="20"/>
      <c r="J36" s="31"/>
    </row>
    <row r="37" spans="8:8" ht="15.0" customHeight="1">
      <c r="A37" s="20">
        <v>17.0</v>
      </c>
      <c r="B37" s="25"/>
      <c r="C37" s="20" t="s">
        <v>28</v>
      </c>
      <c r="D37" s="29"/>
      <c r="E37" s="29"/>
      <c r="F37" s="20">
        <v>500.0</v>
      </c>
      <c r="G37" s="30"/>
      <c r="H37" s="20"/>
      <c r="I37" s="20"/>
      <c r="J37" s="31"/>
    </row>
    <row r="38" spans="8:8" ht="15.0" customHeight="1">
      <c r="A38" s="20">
        <v>18.0</v>
      </c>
      <c r="B38" s="25"/>
      <c r="C38" s="20" t="s">
        <v>28</v>
      </c>
      <c r="D38" s="29"/>
      <c r="E38" s="29"/>
      <c r="F38" s="20">
        <v>500.0</v>
      </c>
      <c r="G38" s="30"/>
      <c r="H38" s="20"/>
      <c r="I38" s="20"/>
      <c r="J38" s="31"/>
    </row>
    <row r="39" spans="8:8" ht="15.0" customHeight="1">
      <c r="A39" s="20">
        <v>19.0</v>
      </c>
      <c r="B39" s="25"/>
      <c r="C39" s="20" t="s">
        <v>28</v>
      </c>
      <c r="D39" s="29"/>
      <c r="E39" s="29"/>
      <c r="F39" s="20">
        <v>500.0</v>
      </c>
      <c r="G39" s="30"/>
      <c r="H39" s="20"/>
      <c r="I39" s="20"/>
      <c r="J39" s="31"/>
    </row>
    <row r="40" spans="8:8" ht="15.0" customHeight="1">
      <c r="A40" s="20">
        <v>20.0</v>
      </c>
      <c r="B40" s="25"/>
      <c r="C40" s="20" t="s">
        <v>28</v>
      </c>
      <c r="D40" s="29"/>
      <c r="E40" s="29"/>
      <c r="F40" s="20">
        <v>500.0</v>
      </c>
      <c r="G40" s="30"/>
      <c r="H40" s="20"/>
      <c r="I40" s="20"/>
      <c r="J40" s="32"/>
    </row>
    <row r="41" spans="8:8" ht="15.0" customHeight="1">
      <c r="A41" s="20">
        <v>21.0</v>
      </c>
      <c r="B41" s="25"/>
      <c r="C41" s="20" t="s">
        <v>28</v>
      </c>
      <c r="D41" s="29"/>
      <c r="E41" s="29"/>
      <c r="F41" s="20">
        <v>500.0</v>
      </c>
      <c r="G41" s="30"/>
      <c r="H41" s="20"/>
      <c r="I41" s="20"/>
      <c r="J41" s="32"/>
    </row>
    <row r="42" spans="8:8" ht="15.0" customHeight="1">
      <c r="A42" s="20">
        <v>22.0</v>
      </c>
      <c r="B42" s="25"/>
      <c r="C42" s="20" t="s">
        <v>28</v>
      </c>
      <c r="D42" s="29"/>
      <c r="E42" s="29"/>
      <c r="F42" s="20">
        <v>500.0</v>
      </c>
      <c r="G42" s="30"/>
      <c r="H42" s="20"/>
      <c r="I42" s="20"/>
      <c r="J42" s="32"/>
    </row>
    <row r="43" spans="8:8" ht="15.0" customHeight="1">
      <c r="A43" s="20">
        <v>23.0</v>
      </c>
      <c r="B43" s="25"/>
      <c r="C43" s="20" t="s">
        <v>28</v>
      </c>
      <c r="D43" s="29"/>
      <c r="E43" s="29"/>
      <c r="F43" s="20">
        <v>500.0</v>
      </c>
      <c r="G43" s="30"/>
      <c r="H43" s="20"/>
      <c r="I43" s="20"/>
      <c r="J43" s="32"/>
    </row>
    <row r="44" spans="8:8" ht="15.0" customHeight="1">
      <c r="A44" s="20">
        <v>24.0</v>
      </c>
      <c r="B44" s="25"/>
      <c r="C44" s="20" t="s">
        <v>28</v>
      </c>
      <c r="D44" s="29"/>
      <c r="E44" s="29"/>
      <c r="F44" s="20">
        <v>500.0</v>
      </c>
      <c r="G44" s="30"/>
      <c r="H44" s="20"/>
      <c r="I44" s="20"/>
      <c r="J44" s="32"/>
    </row>
    <row r="45" spans="8:8" ht="15.0" customHeight="1">
      <c r="A45" s="20">
        <v>25.0</v>
      </c>
      <c r="B45" s="25"/>
      <c r="C45" s="20" t="s">
        <v>28</v>
      </c>
      <c r="D45" s="29"/>
      <c r="E45" s="29"/>
      <c r="F45" s="20">
        <v>500.0</v>
      </c>
      <c r="G45" s="30"/>
      <c r="H45" s="20"/>
      <c r="I45" s="20"/>
      <c r="J45" s="32"/>
    </row>
    <row r="46" spans="8:8" ht="15.0" customHeight="1">
      <c r="A46" s="20">
        <v>26.0</v>
      </c>
      <c r="B46" s="25"/>
      <c r="C46" s="20" t="s">
        <v>28</v>
      </c>
      <c r="D46" s="29"/>
      <c r="E46" s="29"/>
      <c r="F46" s="20">
        <v>500.0</v>
      </c>
      <c r="G46" s="30"/>
      <c r="H46" s="20"/>
      <c r="I46" s="20"/>
      <c r="J46" s="32"/>
    </row>
    <row r="47" spans="8:8" ht="15.0" customHeight="1">
      <c r="A47" s="20">
        <v>27.0</v>
      </c>
      <c r="B47" s="25"/>
      <c r="C47" s="20" t="s">
        <v>28</v>
      </c>
      <c r="D47" s="29"/>
      <c r="E47" s="29"/>
      <c r="F47" s="20">
        <v>500.0</v>
      </c>
      <c r="G47" s="30"/>
      <c r="H47" s="20"/>
      <c r="I47" s="20"/>
      <c r="J47" s="32"/>
    </row>
    <row r="48" spans="8:8" ht="15.0" customHeight="1">
      <c r="A48" s="20">
        <v>28.0</v>
      </c>
      <c r="B48" s="25"/>
      <c r="C48" s="20" t="s">
        <v>28</v>
      </c>
      <c r="D48" s="29"/>
      <c r="E48" s="29"/>
      <c r="F48" s="20">
        <v>500.0</v>
      </c>
      <c r="G48" s="30"/>
      <c r="H48" s="20"/>
      <c r="I48" s="20"/>
      <c r="J48" s="32"/>
    </row>
    <row r="49" spans="8:8" ht="15.0" customHeight="1">
      <c r="A49" s="20">
        <v>29.0</v>
      </c>
      <c r="B49" s="25"/>
      <c r="C49" s="20" t="s">
        <v>28</v>
      </c>
      <c r="D49" s="29"/>
      <c r="E49" s="29"/>
      <c r="F49" s="20">
        <v>500.0</v>
      </c>
      <c r="G49" s="30"/>
      <c r="H49" s="20"/>
      <c r="I49" s="20"/>
      <c r="J49" s="32"/>
    </row>
    <row r="50" spans="8:8" ht="15.0" customHeight="1">
      <c r="A50" s="20">
        <v>30.0</v>
      </c>
      <c r="B50" s="25"/>
      <c r="C50" s="20" t="s">
        <v>28</v>
      </c>
      <c r="D50" s="29"/>
      <c r="E50" s="29"/>
      <c r="F50" s="20">
        <v>500.0</v>
      </c>
      <c r="G50" s="33"/>
      <c r="H50" s="20"/>
      <c r="I50" s="20"/>
      <c r="J50" s="34"/>
    </row>
    <row r="51" spans="8:8" ht="15.0" customHeight="1">
      <c r="A51" s="20">
        <v>31.0</v>
      </c>
      <c r="B51" s="25"/>
      <c r="C51" s="20" t="s">
        <v>28</v>
      </c>
      <c r="D51" s="29"/>
      <c r="E51" s="29"/>
      <c r="F51" s="20">
        <v>500.0</v>
      </c>
      <c r="G51" s="33"/>
      <c r="H51" s="20"/>
      <c r="I51" s="20"/>
      <c r="J51" s="34"/>
    </row>
    <row r="52" spans="8:8" ht="15.0" customHeight="1">
      <c r="A52" s="20">
        <v>32.0</v>
      </c>
      <c r="B52" s="25"/>
      <c r="C52" s="20" t="s">
        <v>28</v>
      </c>
      <c r="D52" s="29"/>
      <c r="E52" s="29"/>
      <c r="F52" s="20">
        <v>500.0</v>
      </c>
      <c r="G52" s="33"/>
      <c r="H52" s="20"/>
      <c r="I52" s="20"/>
      <c r="J52" s="34"/>
    </row>
    <row r="53" spans="8:8" ht="15.0" customHeight="1">
      <c r="A53" s="20">
        <v>33.0</v>
      </c>
      <c r="B53" s="25"/>
      <c r="C53" s="20" t="s">
        <v>28</v>
      </c>
      <c r="D53" s="29"/>
      <c r="E53" s="29"/>
      <c r="F53" s="20">
        <v>500.0</v>
      </c>
      <c r="G53" s="33"/>
      <c r="H53" s="20"/>
      <c r="I53" s="20"/>
      <c r="J53" s="34"/>
    </row>
    <row r="54" spans="8:8" ht="15.0" customHeight="1">
      <c r="A54" s="20">
        <v>34.0</v>
      </c>
      <c r="B54" s="25"/>
      <c r="C54" s="20" t="s">
        <v>28</v>
      </c>
      <c r="D54" s="29"/>
      <c r="E54" s="29"/>
      <c r="F54" s="20">
        <v>500.0</v>
      </c>
      <c r="G54" s="33"/>
      <c r="H54" s="20"/>
      <c r="I54" s="20"/>
      <c r="J54" s="34"/>
    </row>
    <row r="55" spans="8:8" ht="15.0" customHeight="1">
      <c r="A55" s="20">
        <v>35.0</v>
      </c>
      <c r="B55" s="25"/>
      <c r="C55" s="20" t="s">
        <v>28</v>
      </c>
      <c r="D55" s="29"/>
      <c r="E55" s="29"/>
      <c r="F55" s="20">
        <v>500.0</v>
      </c>
      <c r="G55" s="33"/>
      <c r="H55" s="20"/>
      <c r="I55" s="20"/>
      <c r="J55" s="34"/>
    </row>
    <row r="56" spans="8:8" ht="15.0" customHeight="1">
      <c r="A56" s="20">
        <v>36.0</v>
      </c>
      <c r="B56" s="25"/>
      <c r="C56" s="20" t="s">
        <v>28</v>
      </c>
      <c r="D56" s="29"/>
      <c r="E56" s="29"/>
      <c r="F56" s="20">
        <v>500.0</v>
      </c>
      <c r="G56" s="33"/>
      <c r="H56" s="20"/>
      <c r="I56" s="20"/>
      <c r="J56" s="34"/>
    </row>
    <row r="57" spans="8:8" ht="15.0" customHeight="1">
      <c r="A57" s="20">
        <v>37.0</v>
      </c>
      <c r="B57" s="25"/>
      <c r="C57" s="20" t="s">
        <v>28</v>
      </c>
      <c r="D57" s="29"/>
      <c r="E57" s="29"/>
      <c r="F57" s="20">
        <v>500.0</v>
      </c>
      <c r="G57" s="33"/>
      <c r="H57" s="20"/>
      <c r="I57" s="20"/>
      <c r="J57" s="34"/>
    </row>
    <row r="58" spans="8:8" ht="15.0" customHeight="1">
      <c r="A58" s="20">
        <v>38.0</v>
      </c>
      <c r="B58" s="25"/>
      <c r="C58" s="20" t="s">
        <v>28</v>
      </c>
      <c r="D58" s="29"/>
      <c r="E58" s="29"/>
      <c r="F58" s="20">
        <v>500.0</v>
      </c>
      <c r="G58" s="33"/>
      <c r="H58" s="20"/>
      <c r="I58" s="20"/>
      <c r="J58" s="34"/>
    </row>
    <row r="59" spans="8:8" ht="15.0" customHeight="1">
      <c r="A59" s="20">
        <v>39.0</v>
      </c>
      <c r="B59" s="25"/>
      <c r="C59" s="20" t="s">
        <v>28</v>
      </c>
      <c r="D59" s="29"/>
      <c r="E59" s="29"/>
      <c r="F59" s="20">
        <v>500.0</v>
      </c>
      <c r="G59" s="33"/>
      <c r="H59" s="20"/>
      <c r="I59" s="20"/>
      <c r="J59" s="34"/>
    </row>
    <row r="60" spans="8:8" ht="15.0" customHeight="1">
      <c r="A60" s="20">
        <v>40.0</v>
      </c>
      <c r="B60" s="25"/>
      <c r="C60" s="20" t="s">
        <v>28</v>
      </c>
      <c r="D60" s="29"/>
      <c r="E60" s="29"/>
      <c r="F60" s="20">
        <v>500.0</v>
      </c>
      <c r="G60" s="33"/>
      <c r="H60" s="20"/>
      <c r="I60" s="20"/>
      <c r="J60" s="34"/>
    </row>
    <row r="61" spans="8:8" ht="15.0" customHeight="1">
      <c r="A61" s="35" t="s">
        <v>29</v>
      </c>
      <c r="B61" s="36"/>
      <c r="C61" s="36"/>
      <c r="D61" s="36"/>
      <c r="E61" s="37"/>
      <c r="F61" s="38">
        <f>SUM(F21:F60)</f>
        <v>20000.0</v>
      </c>
      <c r="G61" s="38">
        <f>SUM(G21:G60)</f>
        <v>0.0</v>
      </c>
    </row>
    <row r="62" spans="8:8" ht="15.0" customHeight="1">
      <c r="A62" s="39" t="s">
        <v>30</v>
      </c>
      <c r="B62" s="39"/>
    </row>
    <row r="64" spans="8:8" ht="15.0" customHeight="1">
      <c r="A64" s="40" t="s">
        <v>31</v>
      </c>
      <c r="B64" s="40"/>
      <c r="C64" s="22" t="s">
        <v>32</v>
      </c>
      <c r="D64" s="6"/>
      <c r="E64" s="41"/>
      <c r="F64" s="42"/>
      <c r="G64" s="42"/>
      <c r="H64" s="6"/>
    </row>
    <row r="65" spans="8:8" ht="15.0" customHeight="1">
      <c r="A65" s="40" t="s">
        <v>33</v>
      </c>
      <c r="B65" s="40"/>
      <c r="C65" s="22" t="s">
        <v>34</v>
      </c>
      <c r="D65" s="6"/>
      <c r="E65" s="40" t="s">
        <v>35</v>
      </c>
      <c r="F65" s="40"/>
      <c r="G65" s="22" t="s">
        <v>36</v>
      </c>
      <c r="H65" s="6"/>
    </row>
    <row r="66" spans="8:8" ht="15.0" customHeight="1">
      <c r="A66" s="40" t="s">
        <v>37</v>
      </c>
      <c r="B66" s="40"/>
      <c r="C66" s="22" t="s">
        <v>18</v>
      </c>
      <c r="D66" s="6"/>
      <c r="E66" s="40" t="s">
        <v>38</v>
      </c>
      <c r="F66" s="40"/>
      <c r="G66" s="22" t="s">
        <v>36</v>
      </c>
      <c r="H66" s="6"/>
    </row>
    <row r="67" spans="8:8" ht="15.0" customHeight="1">
      <c r="A67" s="40" t="s">
        <v>39</v>
      </c>
      <c r="B67" s="40"/>
      <c r="C67" s="22" t="s">
        <v>18</v>
      </c>
      <c r="D67" s="6"/>
      <c r="E67" s="4" t="s">
        <v>40</v>
      </c>
      <c r="F67" s="43"/>
      <c r="G67" s="22" t="s">
        <v>36</v>
      </c>
      <c r="H67" s="6"/>
    </row>
    <row r="68" spans="8:8" ht="15.0" customHeight="1">
      <c r="A68" s="40" t="s">
        <v>41</v>
      </c>
      <c r="B68" s="40"/>
      <c r="C68" s="22" t="s">
        <v>42</v>
      </c>
      <c r="D68" s="6"/>
      <c r="E68" s="4" t="s">
        <v>43</v>
      </c>
      <c r="F68" s="6"/>
      <c r="G68" s="22">
        <v>2.0</v>
      </c>
      <c r="H68" s="6"/>
    </row>
  </sheetData>
  <mergeCells count="52">
    <mergeCell ref="A64:B64"/>
    <mergeCell ref="G67:H67"/>
    <mergeCell ref="A68:B68"/>
    <mergeCell ref="E67:F67"/>
    <mergeCell ref="C66:D66"/>
    <mergeCell ref="A2:J2"/>
    <mergeCell ref="A13:D13"/>
    <mergeCell ref="I6:J12"/>
    <mergeCell ref="A11:D11"/>
    <mergeCell ref="E15:J15"/>
    <mergeCell ref="A8:D8"/>
    <mergeCell ref="F6:H6"/>
    <mergeCell ref="E16:J16"/>
    <mergeCell ref="A16:D16"/>
    <mergeCell ref="A61:E61"/>
    <mergeCell ref="G66:H66"/>
    <mergeCell ref="C68:D68"/>
    <mergeCell ref="G65:H65"/>
    <mergeCell ref="C67:D67"/>
    <mergeCell ref="A5:D5"/>
    <mergeCell ref="E14:J14"/>
    <mergeCell ref="E18:F18"/>
    <mergeCell ref="F7:H7"/>
    <mergeCell ref="A18:C18"/>
    <mergeCell ref="F17:J17"/>
    <mergeCell ref="I18:J18"/>
    <mergeCell ref="A7:D7"/>
    <mergeCell ref="I5:J5"/>
    <mergeCell ref="E9:H9"/>
    <mergeCell ref="A15:D15"/>
    <mergeCell ref="G68:H68"/>
    <mergeCell ref="A65:B65"/>
    <mergeCell ref="C64:D64"/>
    <mergeCell ref="C65:D65"/>
    <mergeCell ref="E65:F65"/>
    <mergeCell ref="A14:D14"/>
    <mergeCell ref="E5:H5"/>
    <mergeCell ref="E13:J13"/>
    <mergeCell ref="A17:E17"/>
    <mergeCell ref="E10:H10"/>
    <mergeCell ref="A6:D6"/>
    <mergeCell ref="E8:H8"/>
    <mergeCell ref="A12:D12"/>
    <mergeCell ref="A9:D9"/>
    <mergeCell ref="E11:H11"/>
    <mergeCell ref="A10:D10"/>
    <mergeCell ref="E12:H12"/>
    <mergeCell ref="E64:H64"/>
    <mergeCell ref="A67:B67"/>
    <mergeCell ref="E68:F68"/>
    <mergeCell ref="E66:F66"/>
    <mergeCell ref="A66:B66"/>
  </mergeCells>
  <pageMargins left="0.75" right="0.75" top="1.0" bottom="1.0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R27"/>
  <sheetViews>
    <sheetView workbookViewId="0" topLeftCell="G1">
      <selection activeCell="G12" sqref="G12"/>
    </sheetView>
  </sheetViews>
  <sheetFormatPr defaultRowHeight="15.0" customHeight="1" defaultColWidth="13"/>
  <cols>
    <col min="1" max="1" customWidth="1" width="8.7421875" style="0"/>
    <col min="2" max="2" customWidth="1" width="15.46875" style="0"/>
    <col min="3" max="3" customWidth="1" width="16.949219" style="0"/>
    <col min="4" max="4" customWidth="1" width="13.988281" style="0"/>
    <col min="5" max="5" customWidth="1" width="3.359375" style="0"/>
    <col min="6" max="6" customWidth="1" width="19.636719" style="0"/>
    <col min="7" max="7" customWidth="1" width="17.484375" style="0"/>
    <col min="8" max="8" customWidth="1" width="16.410156" style="0"/>
    <col min="9" max="9" customWidth="1" width="13.988281" style="0"/>
    <col min="10" max="14" customWidth="1" width="8.7421875" style="0"/>
  </cols>
  <sheetData>
    <row r="2" spans="8:8" ht="15.0">
      <c r="A2" s="44" t="s">
        <v>44</v>
      </c>
      <c r="B2" s="2"/>
      <c r="C2" s="2"/>
      <c r="D2" s="2"/>
      <c r="E2" s="2"/>
      <c r="F2" s="2"/>
      <c r="G2" s="2"/>
      <c r="H2" s="2"/>
      <c r="I2" s="2"/>
    </row>
    <row r="4" spans="8:8" ht="15.0">
      <c r="A4" s="4" t="s">
        <v>2</v>
      </c>
      <c r="B4" s="42"/>
      <c r="C4" s="15">
        <f>'STUFFING REPORT'!E5</f>
        <v>0.0</v>
      </c>
      <c r="D4" s="45"/>
      <c r="E4" s="45"/>
      <c r="F4" s="45"/>
      <c r="G4" s="45"/>
      <c r="H4" s="45"/>
      <c r="I4" s="18"/>
      <c r="J4" s="17"/>
      <c r="K4" s="17"/>
      <c r="L4" s="17"/>
      <c r="M4" s="17"/>
      <c r="N4" s="17"/>
    </row>
    <row r="5" spans="8:8" ht="15.0">
      <c r="A5" s="4" t="s">
        <v>45</v>
      </c>
      <c r="B5" s="6"/>
      <c r="C5" s="46">
        <f>'STUFFING REPORT'!E8</f>
        <v>0.0</v>
      </c>
      <c r="D5" s="47"/>
      <c r="E5" s="47"/>
      <c r="F5" s="47"/>
      <c r="G5" s="47"/>
      <c r="H5" s="48"/>
    </row>
    <row r="6" spans="8:8" ht="15.0">
      <c r="A6" s="4" t="s">
        <v>46</v>
      </c>
      <c r="B6" s="6"/>
      <c r="C6" s="4">
        <f>'STUFFING REPORT'!E10</f>
        <v>0.0</v>
      </c>
      <c r="D6" s="42"/>
      <c r="E6" s="42"/>
      <c r="F6" s="42"/>
      <c r="G6" s="42"/>
      <c r="H6" s="6"/>
    </row>
    <row r="7" spans="8:8" ht="15.0">
      <c r="A7" s="4" t="s">
        <v>47</v>
      </c>
      <c r="B7" s="6"/>
      <c r="C7" s="4">
        <f>'STUFFING REPORT'!E13</f>
        <v>0.0</v>
      </c>
      <c r="D7" s="42"/>
      <c r="E7" s="42"/>
      <c r="F7" s="42"/>
      <c r="G7" s="42"/>
      <c r="H7" s="6"/>
    </row>
    <row r="8" spans="8:8" ht="15.0">
      <c r="A8" s="4" t="s">
        <v>48</v>
      </c>
      <c r="B8" s="6"/>
      <c r="C8" s="49">
        <v>0.1</v>
      </c>
      <c r="D8" s="42"/>
      <c r="E8" s="42"/>
      <c r="F8" s="42"/>
      <c r="G8" s="42"/>
      <c r="H8" s="6"/>
    </row>
    <row r="9" spans="8:8" ht="15.0">
      <c r="A9" s="4" t="s">
        <v>49</v>
      </c>
      <c r="B9" s="6"/>
      <c r="C9" s="4" t="str">
        <f>'STUFFING REPORT'!F61&amp;" Bags"</f>
        <v>20000 Bags</v>
      </c>
      <c r="D9" s="42"/>
      <c r="E9" s="42"/>
      <c r="F9" s="42"/>
      <c r="G9" s="42"/>
      <c r="H9" s="6"/>
    </row>
    <row r="11" spans="8:8" ht="37.9" customHeight="1">
      <c r="A11" s="23" t="s">
        <v>50</v>
      </c>
      <c r="B11" s="23" t="s">
        <v>51</v>
      </c>
      <c r="C11" s="23" t="s">
        <v>0</v>
      </c>
      <c r="D11" s="24" t="s">
        <v>52</v>
      </c>
    </row>
    <row r="12" spans="8:8" ht="15.2">
      <c r="A12" s="20">
        <v>1.0</v>
      </c>
      <c r="B12" s="20">
        <v>200.0</v>
      </c>
      <c r="C12" s="20"/>
      <c r="D12" s="20" t="s">
        <v>53</v>
      </c>
      <c r="F12" s="27" t="s">
        <v>54</v>
      </c>
      <c r="G12" s="20">
        <f>C27/B27</f>
        <v>0.0</v>
      </c>
      <c r="H12" s="27" t="s">
        <v>55</v>
      </c>
      <c r="I12" s="20">
        <f>G12*'STUFFING REPORT'!F61/1000</f>
        <v>0.0</v>
      </c>
    </row>
    <row r="13" spans="8:8" ht="15.0">
      <c r="A13" s="20">
        <v>2.0</v>
      </c>
      <c r="B13" s="20">
        <v>200.0</v>
      </c>
      <c r="C13" s="20"/>
      <c r="D13" s="20" t="s">
        <v>53</v>
      </c>
      <c r="F13" s="27" t="s">
        <v>56</v>
      </c>
      <c r="G13" s="20"/>
      <c r="H13" s="27" t="s">
        <v>57</v>
      </c>
      <c r="I13" s="20">
        <f>G13*'STUFFING REPORT'!F61/1000</f>
        <v>0.0</v>
      </c>
    </row>
    <row r="14" spans="8:8" ht="15.0">
      <c r="A14" s="20">
        <v>3.0</v>
      </c>
      <c r="B14" s="20">
        <v>200.0</v>
      </c>
      <c r="C14" s="20"/>
      <c r="D14" s="20" t="s">
        <v>53</v>
      </c>
      <c r="F14" s="27" t="s">
        <v>58</v>
      </c>
      <c r="G14" s="20">
        <f>G12-G13</f>
        <v>0.0</v>
      </c>
      <c r="H14" s="27" t="s">
        <v>59</v>
      </c>
      <c r="I14" s="20">
        <f>G14*'STUFFING REPORT'!F61/1000</f>
        <v>0.0</v>
      </c>
    </row>
    <row r="15" spans="8:8" ht="15.0">
      <c r="A15" s="20">
        <v>4.0</v>
      </c>
      <c r="B15" s="20">
        <v>200.0</v>
      </c>
      <c r="C15" s="20"/>
      <c r="D15" s="20" t="s">
        <v>53</v>
      </c>
      <c r="F15" s="27" t="s">
        <v>60</v>
      </c>
      <c r="G15" s="20"/>
      <c r="H15" s="27" t="s">
        <v>61</v>
      </c>
      <c r="I15" s="20">
        <f>G15/1000</f>
        <v>0.0</v>
      </c>
    </row>
    <row r="16" spans="8:8" ht="15.0">
      <c r="A16" s="20">
        <v>5.0</v>
      </c>
      <c r="B16" s="20">
        <v>200.0</v>
      </c>
      <c r="C16" s="20"/>
      <c r="D16" s="20" t="s">
        <v>53</v>
      </c>
      <c r="F16" s="50" t="s">
        <v>62</v>
      </c>
      <c r="G16" s="51"/>
      <c r="H16" s="52"/>
      <c r="I16" s="20">
        <f>SUM(I14:I15)</f>
        <v>0.0</v>
      </c>
    </row>
    <row r="17" spans="8:8" ht="15.0">
      <c r="A17" s="20">
        <v>6.0</v>
      </c>
      <c r="B17" s="20">
        <v>200.0</v>
      </c>
      <c r="C17" s="20"/>
      <c r="D17" s="20" t="s">
        <v>53</v>
      </c>
    </row>
    <row r="18" spans="8:8" ht="15.0">
      <c r="A18" s="20">
        <v>7.0</v>
      </c>
      <c r="B18" s="20">
        <v>200.0</v>
      </c>
      <c r="C18" s="20"/>
      <c r="D18" s="20" t="s">
        <v>53</v>
      </c>
    </row>
    <row r="19" spans="8:8" ht="15.0">
      <c r="A19" s="20">
        <v>8.0</v>
      </c>
      <c r="B19" s="20">
        <v>200.0</v>
      </c>
      <c r="C19" s="20"/>
      <c r="D19" s="20" t="s">
        <v>53</v>
      </c>
    </row>
    <row r="20" spans="8:8" ht="15.0">
      <c r="A20" s="20">
        <v>9.0</v>
      </c>
      <c r="B20" s="20">
        <v>200.0</v>
      </c>
      <c r="C20" s="20"/>
      <c r="D20" s="20" t="s">
        <v>53</v>
      </c>
    </row>
    <row r="21" spans="8:8" ht="15.0" customHeight="1">
      <c r="A21" s="20">
        <v>10.0</v>
      </c>
      <c r="B21" s="20">
        <v>200.0</v>
      </c>
      <c r="C21" s="20"/>
      <c r="D21" s="20" t="s">
        <v>53</v>
      </c>
    </row>
    <row r="22" spans="8:8" ht="15.0" customHeight="1">
      <c r="A22" s="20">
        <v>11.0</v>
      </c>
      <c r="B22" s="20"/>
      <c r="C22" s="20"/>
      <c r="D22" s="20"/>
    </row>
    <row r="23" spans="8:8" ht="15.0" customHeight="1">
      <c r="A23" s="20">
        <v>12.0</v>
      </c>
      <c r="B23" s="20"/>
      <c r="C23" s="20"/>
      <c r="D23" s="20"/>
    </row>
    <row r="24" spans="8:8" ht="15.0" customHeight="1">
      <c r="A24" s="20">
        <v>13.0</v>
      </c>
      <c r="B24" s="20"/>
      <c r="C24" s="20"/>
      <c r="D24" s="20"/>
    </row>
    <row r="25" spans="8:8" ht="15.0" customHeight="1">
      <c r="A25" s="20">
        <v>14.0</v>
      </c>
      <c r="B25" s="20"/>
      <c r="C25" s="20"/>
      <c r="D25" s="20"/>
    </row>
    <row r="26" spans="8:8" ht="15.0" customHeight="1">
      <c r="A26" s="20">
        <v>15.0</v>
      </c>
      <c r="B26" s="20"/>
      <c r="C26" s="20"/>
      <c r="D26" s="20"/>
    </row>
    <row r="27" spans="8:8" ht="15.0" customHeight="1">
      <c r="A27" s="23" t="s">
        <v>29</v>
      </c>
      <c r="B27" s="20">
        <f>SUM(B12:B26)</f>
        <v>2000.0</v>
      </c>
      <c r="C27" s="20">
        <f>SUM(C12:C26)</f>
        <v>0.0</v>
      </c>
      <c r="D27" s="20" t="s">
        <v>53</v>
      </c>
    </row>
  </sheetData>
  <mergeCells count="15">
    <mergeCell ref="F16:H16"/>
    <mergeCell ref="C9:H9"/>
    <mergeCell ref="C4:H4"/>
    <mergeCell ref="C8:H8"/>
    <mergeCell ref="C7:H7"/>
    <mergeCell ref="A9:B9"/>
    <mergeCell ref="A2:I2"/>
    <mergeCell ref="I4:N4"/>
    <mergeCell ref="A8:B8"/>
    <mergeCell ref="A6:B6"/>
    <mergeCell ref="A7:B7"/>
    <mergeCell ref="C6:H6"/>
    <mergeCell ref="A5:B5"/>
    <mergeCell ref="C5:H5"/>
    <mergeCell ref="A4:B4"/>
  </mergeCells>
  <pageMargins left="0.75" right="0.75" top="1.0" bottom="1.0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R51"/>
  <sheetViews>
    <sheetView workbookViewId="0" zoomScale="78">
      <selection activeCell="K57" sqref="K57"/>
    </sheetView>
  </sheetViews>
  <sheetFormatPr defaultRowHeight="15.0" customHeight="1" defaultColWidth="13"/>
  <cols>
    <col min="1" max="1" customWidth="1" width="6.7226562" style="0"/>
    <col min="2" max="2" customWidth="1" width="17.082031" style="0"/>
    <col min="3" max="12" customWidth="1" width="8.7421875" style="0"/>
    <col min="13" max="13" customWidth="1" width="12.375" style="0"/>
  </cols>
  <sheetData>
    <row r="2" spans="8:8" ht="18.75">
      <c r="B2" s="53" t="s">
        <v>63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8:8" ht="15.0">
      <c r="A4" s="4" t="s">
        <v>64</v>
      </c>
      <c r="B4" s="6"/>
      <c r="C4" s="4">
        <f>'STUFFING REPORT'!E14</f>
        <v>0.0</v>
      </c>
      <c r="D4" s="42"/>
      <c r="E4" s="6"/>
      <c r="F4" s="4" t="s">
        <v>65</v>
      </c>
      <c r="G4" s="6"/>
      <c r="H4" s="4">
        <f>'STUFFING REPORT'!E10</f>
        <v>0.0</v>
      </c>
      <c r="I4" s="42"/>
      <c r="J4" s="6"/>
    </row>
    <row r="5" spans="8:8" ht="15.0">
      <c r="A5" s="4" t="s">
        <v>66</v>
      </c>
      <c r="B5" s="6"/>
      <c r="C5" s="54">
        <f>'STUFFING REPORT'!F6</f>
        <v>45784.0</v>
      </c>
      <c r="D5" s="55"/>
      <c r="E5" s="56"/>
      <c r="F5" s="4" t="s">
        <v>67</v>
      </c>
      <c r="G5" s="6"/>
      <c r="H5" s="22"/>
      <c r="I5" s="42"/>
      <c r="J5" s="6"/>
    </row>
    <row r="6" spans="8:8" ht="15.0">
      <c r="A6" s="4" t="s">
        <v>68</v>
      </c>
      <c r="B6" s="6"/>
      <c r="C6" s="4">
        <f>'STUFFING REPORT'!E8</f>
        <v>0.0</v>
      </c>
      <c r="D6" s="42"/>
      <c r="E6" s="6"/>
      <c r="F6" s="4" t="s">
        <v>69</v>
      </c>
      <c r="G6" s="6"/>
      <c r="H6" s="22"/>
      <c r="I6" s="42"/>
      <c r="J6" s="6"/>
    </row>
    <row r="7" spans="8:8" ht="15.0">
      <c r="A7" s="4" t="s">
        <v>70</v>
      </c>
      <c r="B7" s="6"/>
      <c r="C7" s="22" t="s">
        <v>119</v>
      </c>
      <c r="D7" s="41"/>
      <c r="E7" s="57"/>
      <c r="F7" s="4" t="s">
        <v>71</v>
      </c>
      <c r="G7" s="6"/>
      <c r="H7" s="22" t="s">
        <v>72</v>
      </c>
      <c r="I7" s="42"/>
      <c r="J7" s="6"/>
    </row>
    <row r="9" spans="8:8" ht="25.15" customHeight="1">
      <c r="A9" s="58" t="s">
        <v>73</v>
      </c>
      <c r="B9" s="58" t="s">
        <v>74</v>
      </c>
      <c r="C9" s="5" t="s">
        <v>75</v>
      </c>
      <c r="D9" s="42"/>
      <c r="E9" s="42"/>
      <c r="F9" s="42"/>
      <c r="G9" s="42"/>
      <c r="H9" s="42"/>
      <c r="I9" s="42"/>
      <c r="J9" s="42"/>
      <c r="K9" s="42"/>
      <c r="L9" s="6"/>
      <c r="M9" s="59" t="s">
        <v>29</v>
      </c>
      <c r="N9" s="60" t="s">
        <v>115</v>
      </c>
    </row>
    <row r="10" spans="8:8" ht="15.0">
      <c r="A10" s="61"/>
      <c r="B10" s="61"/>
      <c r="C10" s="23">
        <v>1.0</v>
      </c>
      <c r="D10" s="23">
        <v>2.0</v>
      </c>
      <c r="E10" s="23">
        <v>3.0</v>
      </c>
      <c r="F10" s="23">
        <v>4.0</v>
      </c>
      <c r="G10" s="23">
        <v>5.0</v>
      </c>
      <c r="H10" s="23">
        <v>6.0</v>
      </c>
      <c r="I10" s="23">
        <v>7.0</v>
      </c>
      <c r="J10" s="23">
        <v>8.0</v>
      </c>
      <c r="K10" s="23">
        <v>9.0</v>
      </c>
      <c r="L10" s="23">
        <v>10.0</v>
      </c>
      <c r="M10" s="61"/>
      <c r="N10" s="62"/>
    </row>
    <row r="11" spans="8:8" ht="15.0">
      <c r="A11" s="20">
        <v>1.0</v>
      </c>
      <c r="B11" s="25">
        <f>'STUFFING REPORT'!B21</f>
        <v>0.0</v>
      </c>
      <c r="C11" s="20">
        <v>62.0</v>
      </c>
      <c r="D11" s="20">
        <v>62.0</v>
      </c>
      <c r="E11" s="20">
        <v>62.0</v>
      </c>
      <c r="F11" s="20">
        <v>62.0</v>
      </c>
      <c r="G11" s="20">
        <v>62.0</v>
      </c>
      <c r="H11" s="20">
        <v>62.0</v>
      </c>
      <c r="I11" s="20">
        <v>62.0</v>
      </c>
      <c r="J11" s="20"/>
      <c r="K11" s="20"/>
      <c r="L11" s="20" t="s">
        <v>76</v>
      </c>
      <c r="M11" s="63">
        <f>SUM(C11:L11)</f>
        <v>434.0</v>
      </c>
      <c r="N11" s="64"/>
    </row>
    <row r="12" spans="8:8" ht="15.0">
      <c r="A12" s="20">
        <v>2.0</v>
      </c>
      <c r="B12" s="25">
        <f>'STUFFING REPORT'!B22</f>
        <v>0.0</v>
      </c>
      <c r="C12" s="20">
        <v>62.0</v>
      </c>
      <c r="D12" s="20">
        <v>62.0</v>
      </c>
      <c r="E12" s="20">
        <v>62.0</v>
      </c>
      <c r="F12" s="20">
        <v>62.0</v>
      </c>
      <c r="G12" s="20">
        <v>62.0</v>
      </c>
      <c r="H12" s="20">
        <v>62.0</v>
      </c>
      <c r="I12" s="20">
        <v>62.0</v>
      </c>
      <c r="J12" s="20"/>
      <c r="K12" s="20"/>
      <c r="L12" s="20" t="s">
        <v>76</v>
      </c>
      <c r="M12" s="63">
        <f>SUM(C12:L12)</f>
        <v>434.0</v>
      </c>
      <c r="N12" s="64"/>
    </row>
    <row r="13" spans="8:8" ht="15.0">
      <c r="A13" s="20">
        <v>3.0</v>
      </c>
      <c r="B13" s="25">
        <f>'STUFFING REPORT'!B23</f>
        <v>0.0</v>
      </c>
      <c r="C13" s="20">
        <v>62.0</v>
      </c>
      <c r="D13" s="20">
        <v>62.0</v>
      </c>
      <c r="E13" s="20">
        <v>62.0</v>
      </c>
      <c r="F13" s="20">
        <v>62.0</v>
      </c>
      <c r="G13" s="20">
        <v>62.0</v>
      </c>
      <c r="H13" s="20">
        <v>62.0</v>
      </c>
      <c r="I13" s="20">
        <v>62.0</v>
      </c>
      <c r="J13" s="20"/>
      <c r="K13" s="20"/>
      <c r="L13" s="20" t="s">
        <v>76</v>
      </c>
      <c r="M13" s="63">
        <f>SUM(C13:L13)</f>
        <v>434.0</v>
      </c>
      <c r="N13" s="64"/>
    </row>
    <row r="14" spans="8:8" ht="15.0">
      <c r="A14" s="20">
        <v>4.0</v>
      </c>
      <c r="B14" s="25">
        <f>'STUFFING REPORT'!B24</f>
        <v>0.0</v>
      </c>
      <c r="C14" s="20">
        <v>62.0</v>
      </c>
      <c r="D14" s="20">
        <v>62.0</v>
      </c>
      <c r="E14" s="20">
        <v>62.0</v>
      </c>
      <c r="F14" s="20">
        <v>62.0</v>
      </c>
      <c r="G14" s="20">
        <v>62.0</v>
      </c>
      <c r="H14" s="20">
        <v>62.0</v>
      </c>
      <c r="I14" s="20">
        <v>62.0</v>
      </c>
      <c r="J14" s="20"/>
      <c r="K14" s="20"/>
      <c r="L14" s="20" t="s">
        <v>76</v>
      </c>
      <c r="M14" s="63">
        <f>SUM(C14:L14)</f>
        <v>434.0</v>
      </c>
      <c r="N14" s="64"/>
    </row>
    <row r="15" spans="8:8" ht="15.0">
      <c r="A15" s="20">
        <v>5.0</v>
      </c>
      <c r="B15" s="25">
        <f>'STUFFING REPORT'!B25</f>
        <v>0.0</v>
      </c>
      <c r="C15" s="20">
        <v>62.0</v>
      </c>
      <c r="D15" s="20">
        <v>62.0</v>
      </c>
      <c r="E15" s="20">
        <v>62.0</v>
      </c>
      <c r="F15" s="20">
        <v>62.0</v>
      </c>
      <c r="G15" s="20">
        <v>62.0</v>
      </c>
      <c r="H15" s="20">
        <v>62.0</v>
      </c>
      <c r="I15" s="20">
        <v>62.0</v>
      </c>
      <c r="J15" s="20"/>
      <c r="K15" s="20"/>
      <c r="L15" s="20" t="s">
        <v>76</v>
      </c>
      <c r="M15" s="63">
        <f>SUM(C15:L15)</f>
        <v>434.0</v>
      </c>
      <c r="N15" s="64"/>
    </row>
    <row r="16" spans="8:8" ht="15.0">
      <c r="A16" s="20">
        <v>6.0</v>
      </c>
      <c r="B16" s="25">
        <f>'STUFFING REPORT'!B26</f>
        <v>0.0</v>
      </c>
      <c r="C16" s="20">
        <v>62.0</v>
      </c>
      <c r="D16" s="20">
        <v>62.0</v>
      </c>
      <c r="E16" s="20">
        <v>62.0</v>
      </c>
      <c r="F16" s="20">
        <v>62.0</v>
      </c>
      <c r="G16" s="20">
        <v>62.0</v>
      </c>
      <c r="H16" s="20">
        <v>62.0</v>
      </c>
      <c r="I16" s="20">
        <v>62.0</v>
      </c>
      <c r="J16" s="20"/>
      <c r="K16" s="20"/>
      <c r="L16" s="20" t="s">
        <v>76</v>
      </c>
      <c r="M16" s="63">
        <f>SUM(C16:L16)</f>
        <v>434.0</v>
      </c>
      <c r="N16" s="64"/>
    </row>
    <row r="17" spans="8:8" ht="15.0">
      <c r="A17" s="20">
        <v>7.0</v>
      </c>
      <c r="B17" s="25">
        <f>'STUFFING REPORT'!B27</f>
        <v>0.0</v>
      </c>
      <c r="C17" s="20">
        <v>62.0</v>
      </c>
      <c r="D17" s="20">
        <v>62.0</v>
      </c>
      <c r="E17" s="20">
        <v>62.0</v>
      </c>
      <c r="F17" s="20">
        <v>62.0</v>
      </c>
      <c r="G17" s="20">
        <v>62.0</v>
      </c>
      <c r="H17" s="20">
        <v>62.0</v>
      </c>
      <c r="I17" s="20">
        <v>62.0</v>
      </c>
      <c r="J17" s="20"/>
      <c r="K17" s="20"/>
      <c r="L17" s="20" t="s">
        <v>76</v>
      </c>
      <c r="M17" s="63">
        <f>SUM(C17:L17)</f>
        <v>434.0</v>
      </c>
      <c r="N17" s="64"/>
    </row>
    <row r="18" spans="8:8" ht="15.0">
      <c r="A18" s="20">
        <v>8.0</v>
      </c>
      <c r="B18" s="25">
        <f>'STUFFING REPORT'!B28</f>
        <v>0.0</v>
      </c>
      <c r="C18" s="20">
        <v>62.0</v>
      </c>
      <c r="D18" s="20">
        <v>62.0</v>
      </c>
      <c r="E18" s="20">
        <v>62.0</v>
      </c>
      <c r="F18" s="20">
        <v>62.0</v>
      </c>
      <c r="G18" s="20">
        <v>62.0</v>
      </c>
      <c r="H18" s="20">
        <v>62.0</v>
      </c>
      <c r="I18" s="20">
        <v>62.0</v>
      </c>
      <c r="J18" s="20"/>
      <c r="K18" s="20"/>
      <c r="L18" s="20" t="s">
        <v>76</v>
      </c>
      <c r="M18" s="63">
        <f>SUM(C18:L18)</f>
        <v>434.0</v>
      </c>
      <c r="N18" s="64"/>
    </row>
    <row r="19" spans="8:8" ht="15.0">
      <c r="A19" s="20">
        <v>9.0</v>
      </c>
      <c r="B19" s="25">
        <f>'STUFFING REPORT'!B29</f>
        <v>0.0</v>
      </c>
      <c r="C19" s="20">
        <v>62.0</v>
      </c>
      <c r="D19" s="20">
        <v>62.0</v>
      </c>
      <c r="E19" s="20">
        <v>62.0</v>
      </c>
      <c r="F19" s="20">
        <v>62.0</v>
      </c>
      <c r="G19" s="20">
        <v>62.0</v>
      </c>
      <c r="H19" s="20">
        <v>62.0</v>
      </c>
      <c r="I19" s="20">
        <v>62.0</v>
      </c>
      <c r="J19" s="20"/>
      <c r="K19" s="20"/>
      <c r="L19" s="20" t="s">
        <v>76</v>
      </c>
      <c r="M19" s="63">
        <f>SUM(C19:L19)</f>
        <v>434.0</v>
      </c>
      <c r="N19" s="64"/>
    </row>
    <row r="20" spans="8:8" ht="15.0">
      <c r="A20" s="20">
        <v>10.0</v>
      </c>
      <c r="B20" s="25">
        <f>'STUFFING REPORT'!B30</f>
        <v>0.0</v>
      </c>
      <c r="C20" s="20">
        <v>62.0</v>
      </c>
      <c r="D20" s="20">
        <v>62.0</v>
      </c>
      <c r="E20" s="20">
        <v>62.0</v>
      </c>
      <c r="F20" s="20">
        <v>62.0</v>
      </c>
      <c r="G20" s="20">
        <v>62.0</v>
      </c>
      <c r="H20" s="20">
        <v>62.0</v>
      </c>
      <c r="I20" s="20">
        <v>62.0</v>
      </c>
      <c r="J20" s="20"/>
      <c r="K20" s="20"/>
      <c r="L20" s="20" t="s">
        <v>76</v>
      </c>
      <c r="M20" s="63">
        <f>SUM(C20:L20)</f>
        <v>434.0</v>
      </c>
      <c r="N20" s="64"/>
    </row>
    <row r="21" spans="8:8" ht="15.0" customHeight="1">
      <c r="A21" s="20">
        <v>11.0</v>
      </c>
      <c r="B21" s="25">
        <f>'STUFFING REPORT'!B31</f>
        <v>0.0</v>
      </c>
      <c r="C21" s="20">
        <v>62.0</v>
      </c>
      <c r="D21" s="20">
        <v>62.0</v>
      </c>
      <c r="E21" s="20">
        <v>62.0</v>
      </c>
      <c r="F21" s="20">
        <v>62.0</v>
      </c>
      <c r="G21" s="20">
        <v>62.0</v>
      </c>
      <c r="H21" s="20">
        <v>62.0</v>
      </c>
      <c r="I21" s="20">
        <v>62.0</v>
      </c>
      <c r="J21" s="20"/>
      <c r="K21" s="20"/>
      <c r="L21" s="20" t="s">
        <v>76</v>
      </c>
      <c r="M21" s="63">
        <f t="shared" si="0" ref="M21:M50">SUM(C21:L21)</f>
        <v>434.0</v>
      </c>
      <c r="N21" s="64"/>
    </row>
    <row r="22" spans="8:8" ht="15.0" customHeight="1">
      <c r="A22" s="20">
        <v>12.0</v>
      </c>
      <c r="B22" s="25">
        <f>'STUFFING REPORT'!B32</f>
        <v>0.0</v>
      </c>
      <c r="C22" s="20">
        <v>62.0</v>
      </c>
      <c r="D22" s="20">
        <v>62.0</v>
      </c>
      <c r="E22" s="20">
        <v>62.0</v>
      </c>
      <c r="F22" s="20">
        <v>62.0</v>
      </c>
      <c r="G22" s="20">
        <v>62.0</v>
      </c>
      <c r="H22" s="20">
        <v>62.0</v>
      </c>
      <c r="I22" s="20">
        <v>62.0</v>
      </c>
      <c r="J22" s="20"/>
      <c r="K22" s="20"/>
      <c r="L22" s="20" t="s">
        <v>76</v>
      </c>
      <c r="M22" s="63">
        <f t="shared" si="0"/>
        <v>434.0</v>
      </c>
      <c r="N22" s="64"/>
    </row>
    <row r="23" spans="8:8" ht="15.0" customHeight="1">
      <c r="A23" s="20">
        <v>13.0</v>
      </c>
      <c r="B23" s="25">
        <f>'STUFFING REPORT'!B33</f>
        <v>0.0</v>
      </c>
      <c r="C23" s="20">
        <v>62.0</v>
      </c>
      <c r="D23" s="20">
        <v>62.0</v>
      </c>
      <c r="E23" s="20">
        <v>62.0</v>
      </c>
      <c r="F23" s="20">
        <v>62.0</v>
      </c>
      <c r="G23" s="20">
        <v>62.0</v>
      </c>
      <c r="H23" s="20">
        <v>62.0</v>
      </c>
      <c r="I23" s="20">
        <v>62.0</v>
      </c>
      <c r="J23" s="20"/>
      <c r="K23" s="20"/>
      <c r="L23" s="20" t="s">
        <v>76</v>
      </c>
      <c r="M23" s="63">
        <f t="shared" si="0"/>
        <v>434.0</v>
      </c>
      <c r="N23" s="64"/>
    </row>
    <row r="24" spans="8:8" ht="15.0" customHeight="1">
      <c r="A24" s="20">
        <v>14.0</v>
      </c>
      <c r="B24" s="25">
        <f>'STUFFING REPORT'!B34</f>
        <v>0.0</v>
      </c>
      <c r="C24" s="20">
        <v>62.0</v>
      </c>
      <c r="D24" s="20">
        <v>62.0</v>
      </c>
      <c r="E24" s="20">
        <v>62.0</v>
      </c>
      <c r="F24" s="20">
        <v>62.0</v>
      </c>
      <c r="G24" s="20">
        <v>62.0</v>
      </c>
      <c r="H24" s="20">
        <v>62.0</v>
      </c>
      <c r="I24" s="20">
        <v>62.0</v>
      </c>
      <c r="J24" s="20"/>
      <c r="K24" s="20"/>
      <c r="L24" s="20" t="s">
        <v>76</v>
      </c>
      <c r="M24" s="63">
        <f t="shared" si="0"/>
        <v>434.0</v>
      </c>
      <c r="N24" s="64"/>
    </row>
    <row r="25" spans="8:8" ht="15.0" customHeight="1">
      <c r="A25" s="20">
        <v>15.0</v>
      </c>
      <c r="B25" s="25">
        <f>'STUFFING REPORT'!B35</f>
        <v>0.0</v>
      </c>
      <c r="C25" s="20">
        <v>62.0</v>
      </c>
      <c r="D25" s="20">
        <v>62.0</v>
      </c>
      <c r="E25" s="20">
        <v>62.0</v>
      </c>
      <c r="F25" s="20">
        <v>62.0</v>
      </c>
      <c r="G25" s="20">
        <v>62.0</v>
      </c>
      <c r="H25" s="20">
        <v>62.0</v>
      </c>
      <c r="I25" s="20">
        <v>62.0</v>
      </c>
      <c r="J25" s="20"/>
      <c r="K25" s="20"/>
      <c r="L25" s="20" t="s">
        <v>76</v>
      </c>
      <c r="M25" s="63">
        <f t="shared" si="0"/>
        <v>434.0</v>
      </c>
      <c r="N25" s="64"/>
    </row>
    <row r="26" spans="8:8" ht="15.0" customHeight="1">
      <c r="A26" s="20">
        <v>16.0</v>
      </c>
      <c r="B26" s="25">
        <f>'STUFFING REPORT'!B36</f>
        <v>0.0</v>
      </c>
      <c r="C26" s="20">
        <v>62.0</v>
      </c>
      <c r="D26" s="20">
        <v>62.0</v>
      </c>
      <c r="E26" s="20">
        <v>62.0</v>
      </c>
      <c r="F26" s="20">
        <v>62.0</v>
      </c>
      <c r="G26" s="20">
        <v>62.0</v>
      </c>
      <c r="H26" s="20">
        <v>62.0</v>
      </c>
      <c r="I26" s="20">
        <v>62.0</v>
      </c>
      <c r="J26" s="20"/>
      <c r="K26" s="20"/>
      <c r="L26" s="20" t="s">
        <v>76</v>
      </c>
      <c r="M26" s="63">
        <f t="shared" si="0"/>
        <v>434.0</v>
      </c>
      <c r="N26" s="64"/>
    </row>
    <row r="27" spans="8:8" ht="15.0" customHeight="1">
      <c r="A27" s="20">
        <v>17.0</v>
      </c>
      <c r="B27" s="25">
        <f>'STUFFING REPORT'!B37</f>
        <v>0.0</v>
      </c>
      <c r="C27" s="20">
        <v>62.0</v>
      </c>
      <c r="D27" s="20">
        <v>62.0</v>
      </c>
      <c r="E27" s="20">
        <v>62.0</v>
      </c>
      <c r="F27" s="20">
        <v>62.0</v>
      </c>
      <c r="G27" s="20">
        <v>62.0</v>
      </c>
      <c r="H27" s="20">
        <v>62.0</v>
      </c>
      <c r="I27" s="20">
        <v>62.0</v>
      </c>
      <c r="J27" s="20"/>
      <c r="K27" s="20"/>
      <c r="L27" s="20" t="s">
        <v>76</v>
      </c>
      <c r="M27" s="63">
        <f t="shared" si="0"/>
        <v>434.0</v>
      </c>
      <c r="N27" s="64"/>
    </row>
    <row r="28" spans="8:8" ht="15.0" customHeight="1">
      <c r="A28" s="20">
        <v>18.0</v>
      </c>
      <c r="B28" s="25">
        <f>'STUFFING REPORT'!B38</f>
        <v>0.0</v>
      </c>
      <c r="C28" s="20">
        <v>62.0</v>
      </c>
      <c r="D28" s="20">
        <v>62.0</v>
      </c>
      <c r="E28" s="20">
        <v>62.0</v>
      </c>
      <c r="F28" s="20">
        <v>62.0</v>
      </c>
      <c r="G28" s="20">
        <v>62.0</v>
      </c>
      <c r="H28" s="20">
        <v>62.0</v>
      </c>
      <c r="I28" s="20">
        <v>62.0</v>
      </c>
      <c r="J28" s="20"/>
      <c r="K28" s="20"/>
      <c r="L28" s="20" t="s">
        <v>76</v>
      </c>
      <c r="M28" s="63">
        <f t="shared" si="0"/>
        <v>434.0</v>
      </c>
      <c r="N28" s="64"/>
    </row>
    <row r="29" spans="8:8" ht="15.0" customHeight="1">
      <c r="A29" s="20">
        <v>19.0</v>
      </c>
      <c r="B29" s="25">
        <f>'STUFFING REPORT'!B39</f>
        <v>0.0</v>
      </c>
      <c r="C29" s="20">
        <v>62.0</v>
      </c>
      <c r="D29" s="20">
        <v>62.0</v>
      </c>
      <c r="E29" s="20">
        <v>62.0</v>
      </c>
      <c r="F29" s="20">
        <v>62.0</v>
      </c>
      <c r="G29" s="20">
        <v>62.0</v>
      </c>
      <c r="H29" s="20">
        <v>62.0</v>
      </c>
      <c r="I29" s="20">
        <v>62.0</v>
      </c>
      <c r="J29" s="20"/>
      <c r="K29" s="20"/>
      <c r="L29" s="20" t="s">
        <v>76</v>
      </c>
      <c r="M29" s="63">
        <f t="shared" si="0"/>
        <v>434.0</v>
      </c>
      <c r="N29" s="64"/>
    </row>
    <row r="30" spans="8:8" ht="15.0" customHeight="1">
      <c r="A30" s="20">
        <v>20.0</v>
      </c>
      <c r="B30" s="25">
        <f>'STUFFING REPORT'!B40</f>
        <v>0.0</v>
      </c>
      <c r="C30" s="20">
        <v>62.0</v>
      </c>
      <c r="D30" s="20">
        <v>62.0</v>
      </c>
      <c r="E30" s="20">
        <v>62.0</v>
      </c>
      <c r="F30" s="20">
        <v>62.0</v>
      </c>
      <c r="G30" s="20">
        <v>62.0</v>
      </c>
      <c r="H30" s="20">
        <v>62.0</v>
      </c>
      <c r="I30" s="20">
        <v>62.0</v>
      </c>
      <c r="J30" s="30"/>
      <c r="K30" s="30"/>
      <c r="L30" s="20" t="s">
        <v>76</v>
      </c>
      <c r="M30" s="63">
        <f t="shared" si="0"/>
        <v>434.0</v>
      </c>
      <c r="N30" s="65"/>
    </row>
    <row r="31" spans="8:8" ht="15.0" customHeight="1">
      <c r="A31" s="20">
        <v>21.0</v>
      </c>
      <c r="B31" s="25">
        <f>'STUFFING REPORT'!B41</f>
        <v>0.0</v>
      </c>
      <c r="C31" s="20">
        <v>62.0</v>
      </c>
      <c r="D31" s="20">
        <v>62.0</v>
      </c>
      <c r="E31" s="20">
        <v>62.0</v>
      </c>
      <c r="F31" s="20">
        <v>62.0</v>
      </c>
      <c r="G31" s="20">
        <v>62.0</v>
      </c>
      <c r="H31" s="20">
        <v>62.0</v>
      </c>
      <c r="I31" s="66">
        <v>62.0</v>
      </c>
      <c r="J31" s="67"/>
      <c r="K31" s="67"/>
      <c r="L31" s="68" t="s">
        <v>76</v>
      </c>
      <c r="M31" s="66">
        <f t="shared" si="0"/>
        <v>434.0</v>
      </c>
      <c r="N31" s="69"/>
    </row>
    <row r="32" spans="8:8" ht="15.0" customHeight="1">
      <c r="A32" s="20">
        <v>22.0</v>
      </c>
      <c r="B32" s="25">
        <f>'STUFFING REPORT'!B42</f>
        <v>0.0</v>
      </c>
      <c r="C32" s="20">
        <v>62.0</v>
      </c>
      <c r="D32" s="20">
        <v>62.0</v>
      </c>
      <c r="E32" s="20">
        <v>62.0</v>
      </c>
      <c r="F32" s="20">
        <v>62.0</v>
      </c>
      <c r="G32" s="20">
        <v>62.0</v>
      </c>
      <c r="H32" s="20">
        <v>62.0</v>
      </c>
      <c r="I32" s="66">
        <v>62.0</v>
      </c>
      <c r="J32" s="67"/>
      <c r="K32" s="67"/>
      <c r="L32" s="68" t="s">
        <v>76</v>
      </c>
      <c r="M32" s="66">
        <f t="shared" si="0"/>
        <v>434.0</v>
      </c>
      <c r="N32" s="69"/>
    </row>
    <row r="33" spans="8:8" ht="15.0" customHeight="1">
      <c r="A33" s="20">
        <v>23.0</v>
      </c>
      <c r="B33" s="25">
        <f>'STUFFING REPORT'!B43</f>
        <v>0.0</v>
      </c>
      <c r="C33" s="20">
        <v>62.0</v>
      </c>
      <c r="D33" s="20">
        <v>62.0</v>
      </c>
      <c r="E33" s="20">
        <v>62.0</v>
      </c>
      <c r="F33" s="20">
        <v>62.0</v>
      </c>
      <c r="G33" s="20">
        <v>62.0</v>
      </c>
      <c r="H33" s="20">
        <v>62.0</v>
      </c>
      <c r="I33" s="66">
        <v>62.0</v>
      </c>
      <c r="J33" s="67"/>
      <c r="K33" s="67"/>
      <c r="L33" s="68" t="s">
        <v>76</v>
      </c>
      <c r="M33" s="66">
        <f t="shared" si="0"/>
        <v>434.0</v>
      </c>
      <c r="N33" s="69"/>
    </row>
    <row r="34" spans="8:8" ht="15.0" customHeight="1">
      <c r="A34" s="20">
        <v>24.0</v>
      </c>
      <c r="B34" s="25">
        <f>'STUFFING REPORT'!B44</f>
        <v>0.0</v>
      </c>
      <c r="C34" s="20">
        <v>62.0</v>
      </c>
      <c r="D34" s="20">
        <v>62.0</v>
      </c>
      <c r="E34" s="20">
        <v>62.0</v>
      </c>
      <c r="F34" s="20">
        <v>62.0</v>
      </c>
      <c r="G34" s="20">
        <v>62.0</v>
      </c>
      <c r="H34" s="20">
        <v>62.0</v>
      </c>
      <c r="I34" s="66">
        <v>62.0</v>
      </c>
      <c r="J34" s="67"/>
      <c r="K34" s="67"/>
      <c r="L34" s="68" t="s">
        <v>76</v>
      </c>
      <c r="M34" s="66">
        <f t="shared" si="0"/>
        <v>434.0</v>
      </c>
      <c r="N34" s="69"/>
    </row>
    <row r="35" spans="8:8" ht="15.0" customHeight="1">
      <c r="A35" s="20">
        <v>25.0</v>
      </c>
      <c r="B35" s="25">
        <f>'STUFFING REPORT'!B45</f>
        <v>0.0</v>
      </c>
      <c r="C35" s="20">
        <v>62.0</v>
      </c>
      <c r="D35" s="20">
        <v>62.0</v>
      </c>
      <c r="E35" s="20">
        <v>62.0</v>
      </c>
      <c r="F35" s="20">
        <v>62.0</v>
      </c>
      <c r="G35" s="20">
        <v>62.0</v>
      </c>
      <c r="H35" s="20">
        <v>62.0</v>
      </c>
      <c r="I35" s="66">
        <v>62.0</v>
      </c>
      <c r="J35" s="67"/>
      <c r="K35" s="67"/>
      <c r="L35" s="68" t="s">
        <v>76</v>
      </c>
      <c r="M35" s="66">
        <f t="shared" si="0"/>
        <v>434.0</v>
      </c>
      <c r="N35" s="69"/>
    </row>
    <row r="36" spans="8:8" ht="15.0" customHeight="1">
      <c r="A36" s="20">
        <v>26.0</v>
      </c>
      <c r="B36" s="25">
        <f>'STUFFING REPORT'!B46</f>
        <v>0.0</v>
      </c>
      <c r="C36" s="20">
        <v>62.0</v>
      </c>
      <c r="D36" s="20">
        <v>62.0</v>
      </c>
      <c r="E36" s="20">
        <v>62.0</v>
      </c>
      <c r="F36" s="20">
        <v>62.0</v>
      </c>
      <c r="G36" s="20">
        <v>62.0</v>
      </c>
      <c r="H36" s="20">
        <v>62.0</v>
      </c>
      <c r="I36" s="66">
        <v>62.0</v>
      </c>
      <c r="J36" s="67"/>
      <c r="K36" s="67"/>
      <c r="L36" s="68" t="s">
        <v>76</v>
      </c>
      <c r="M36" s="66">
        <f t="shared" si="0"/>
        <v>434.0</v>
      </c>
      <c r="N36" s="69"/>
    </row>
    <row r="37" spans="8:8" ht="15.0" customHeight="1">
      <c r="A37" s="20">
        <v>27.0</v>
      </c>
      <c r="B37" s="25">
        <f>'STUFFING REPORT'!B47</f>
        <v>0.0</v>
      </c>
      <c r="C37" s="20">
        <v>62.0</v>
      </c>
      <c r="D37" s="20">
        <v>62.0</v>
      </c>
      <c r="E37" s="20">
        <v>62.0</v>
      </c>
      <c r="F37" s="20">
        <v>62.0</v>
      </c>
      <c r="G37" s="20">
        <v>62.0</v>
      </c>
      <c r="H37" s="20">
        <v>62.0</v>
      </c>
      <c r="I37" s="66">
        <v>62.0</v>
      </c>
      <c r="J37" s="67"/>
      <c r="K37" s="67"/>
      <c r="L37" s="68" t="s">
        <v>76</v>
      </c>
      <c r="M37" s="66">
        <f t="shared" si="0"/>
        <v>434.0</v>
      </c>
      <c r="N37" s="69"/>
    </row>
    <row r="38" spans="8:8" ht="15.0" customHeight="1">
      <c r="A38" s="20">
        <v>28.0</v>
      </c>
      <c r="B38" s="25">
        <f>'STUFFING REPORT'!B48</f>
        <v>0.0</v>
      </c>
      <c r="C38" s="20">
        <v>62.0</v>
      </c>
      <c r="D38" s="20">
        <v>62.0</v>
      </c>
      <c r="E38" s="20">
        <v>62.0</v>
      </c>
      <c r="F38" s="20">
        <v>62.0</v>
      </c>
      <c r="G38" s="20">
        <v>62.0</v>
      </c>
      <c r="H38" s="20">
        <v>62.0</v>
      </c>
      <c r="I38" s="66">
        <v>62.0</v>
      </c>
      <c r="J38" s="67"/>
      <c r="K38" s="67"/>
      <c r="L38" s="68" t="s">
        <v>76</v>
      </c>
      <c r="M38" s="66">
        <f t="shared" si="0"/>
        <v>434.0</v>
      </c>
      <c r="N38" s="69"/>
    </row>
    <row r="39" spans="8:8" ht="15.0" customHeight="1">
      <c r="A39" s="20">
        <v>29.0</v>
      </c>
      <c r="B39" s="25">
        <f>'STUFFING REPORT'!B49</f>
        <v>0.0</v>
      </c>
      <c r="C39" s="20">
        <v>62.0</v>
      </c>
      <c r="D39" s="20">
        <v>62.0</v>
      </c>
      <c r="E39" s="20">
        <v>62.0</v>
      </c>
      <c r="F39" s="20">
        <v>62.0</v>
      </c>
      <c r="G39" s="20">
        <v>62.0</v>
      </c>
      <c r="H39" s="20">
        <v>62.0</v>
      </c>
      <c r="I39" s="66">
        <v>62.0</v>
      </c>
      <c r="J39" s="67"/>
      <c r="K39" s="67"/>
      <c r="L39" s="68" t="s">
        <v>76</v>
      </c>
      <c r="M39" s="66">
        <f t="shared" si="0"/>
        <v>434.0</v>
      </c>
      <c r="N39" s="69"/>
    </row>
    <row r="40" spans="8:8" ht="15.0" customHeight="1">
      <c r="A40" s="20">
        <v>30.0</v>
      </c>
      <c r="B40" s="25">
        <f>'STUFFING REPORT'!B50</f>
        <v>0.0</v>
      </c>
      <c r="C40" s="20">
        <v>62.0</v>
      </c>
      <c r="D40" s="20">
        <v>62.0</v>
      </c>
      <c r="E40" s="20">
        <v>62.0</v>
      </c>
      <c r="F40" s="20">
        <v>62.0</v>
      </c>
      <c r="G40" s="20">
        <v>62.0</v>
      </c>
      <c r="H40" s="20">
        <v>62.0</v>
      </c>
      <c r="I40" s="70">
        <v>62.0</v>
      </c>
      <c r="J40" s="67"/>
      <c r="K40" s="67"/>
      <c r="L40" s="71" t="s">
        <v>76</v>
      </c>
      <c r="M40" s="70">
        <f t="shared" si="1" ref="M40:M50">SUM(C40:L40)</f>
        <v>434.0</v>
      </c>
      <c r="N40" s="69"/>
    </row>
    <row r="41" spans="8:8" ht="15.0" customHeight="1">
      <c r="A41" s="20">
        <v>31.0</v>
      </c>
      <c r="B41" s="25">
        <f>'STUFFING REPORT'!B51</f>
        <v>0.0</v>
      </c>
      <c r="C41" s="20">
        <v>62.0</v>
      </c>
      <c r="D41" s="20">
        <v>62.0</v>
      </c>
      <c r="E41" s="20">
        <v>62.0</v>
      </c>
      <c r="F41" s="20">
        <v>62.0</v>
      </c>
      <c r="G41" s="20">
        <v>62.0</v>
      </c>
      <c r="H41" s="20">
        <v>62.0</v>
      </c>
      <c r="I41" s="70">
        <v>62.0</v>
      </c>
      <c r="J41" s="67"/>
      <c r="K41" s="67"/>
      <c r="L41" s="71" t="s">
        <v>76</v>
      </c>
      <c r="M41" s="70">
        <f t="shared" si="1"/>
        <v>434.0</v>
      </c>
      <c r="N41" s="69"/>
    </row>
    <row r="42" spans="8:8" ht="15.0" customHeight="1">
      <c r="A42" s="20">
        <v>32.0</v>
      </c>
      <c r="B42" s="25">
        <f>'STUFFING REPORT'!B52</f>
        <v>0.0</v>
      </c>
      <c r="C42" s="20">
        <v>62.0</v>
      </c>
      <c r="D42" s="20">
        <v>62.0</v>
      </c>
      <c r="E42" s="20">
        <v>62.0</v>
      </c>
      <c r="F42" s="20">
        <v>62.0</v>
      </c>
      <c r="G42" s="20">
        <v>62.0</v>
      </c>
      <c r="H42" s="20">
        <v>62.0</v>
      </c>
      <c r="I42" s="70">
        <v>62.0</v>
      </c>
      <c r="J42" s="67"/>
      <c r="K42" s="67"/>
      <c r="L42" s="71" t="s">
        <v>76</v>
      </c>
      <c r="M42" s="70">
        <f t="shared" si="1"/>
        <v>434.0</v>
      </c>
      <c r="N42" s="69"/>
    </row>
    <row r="43" spans="8:8" ht="15.0" customHeight="1">
      <c r="A43" s="20">
        <v>33.0</v>
      </c>
      <c r="B43" s="25">
        <f>'STUFFING REPORT'!B53</f>
        <v>0.0</v>
      </c>
      <c r="C43" s="20">
        <v>62.0</v>
      </c>
      <c r="D43" s="20">
        <v>62.0</v>
      </c>
      <c r="E43" s="20">
        <v>62.0</v>
      </c>
      <c r="F43" s="20">
        <v>62.0</v>
      </c>
      <c r="G43" s="20">
        <v>62.0</v>
      </c>
      <c r="H43" s="20">
        <v>62.0</v>
      </c>
      <c r="I43" s="70">
        <v>62.0</v>
      </c>
      <c r="J43" s="67"/>
      <c r="K43" s="67"/>
      <c r="L43" s="71" t="s">
        <v>76</v>
      </c>
      <c r="M43" s="70">
        <f t="shared" si="1"/>
        <v>434.0</v>
      </c>
      <c r="N43" s="69"/>
    </row>
    <row r="44" spans="8:8" ht="15.0" customHeight="1">
      <c r="A44" s="20">
        <v>34.0</v>
      </c>
      <c r="B44" s="25">
        <f>'STUFFING REPORT'!B54</f>
        <v>0.0</v>
      </c>
      <c r="C44" s="20">
        <v>62.0</v>
      </c>
      <c r="D44" s="20">
        <v>62.0</v>
      </c>
      <c r="E44" s="20">
        <v>62.0</v>
      </c>
      <c r="F44" s="20">
        <v>62.0</v>
      </c>
      <c r="G44" s="20">
        <v>62.0</v>
      </c>
      <c r="H44" s="20">
        <v>62.0</v>
      </c>
      <c r="I44" s="70">
        <v>62.0</v>
      </c>
      <c r="J44" s="67"/>
      <c r="K44" s="67"/>
      <c r="L44" s="71" t="s">
        <v>76</v>
      </c>
      <c r="M44" s="70">
        <f t="shared" si="1"/>
        <v>434.0</v>
      </c>
      <c r="N44" s="69"/>
    </row>
    <row r="45" spans="8:8" ht="15.0" customHeight="1">
      <c r="A45" s="20">
        <v>35.0</v>
      </c>
      <c r="B45" s="25">
        <f>'STUFFING REPORT'!B55</f>
        <v>0.0</v>
      </c>
      <c r="C45" s="20">
        <v>62.0</v>
      </c>
      <c r="D45" s="20">
        <v>62.0</v>
      </c>
      <c r="E45" s="20">
        <v>62.0</v>
      </c>
      <c r="F45" s="20">
        <v>62.0</v>
      </c>
      <c r="G45" s="20">
        <v>62.0</v>
      </c>
      <c r="H45" s="20">
        <v>62.0</v>
      </c>
      <c r="I45" s="70">
        <v>62.0</v>
      </c>
      <c r="J45" s="67"/>
      <c r="K45" s="67"/>
      <c r="L45" s="71" t="s">
        <v>76</v>
      </c>
      <c r="M45" s="70">
        <f t="shared" si="1"/>
        <v>434.0</v>
      </c>
      <c r="N45" s="69"/>
    </row>
    <row r="46" spans="8:8" ht="15.0" customHeight="1">
      <c r="A46" s="20">
        <v>36.0</v>
      </c>
      <c r="B46" s="25">
        <f>'STUFFING REPORT'!B56</f>
        <v>0.0</v>
      </c>
      <c r="C46" s="20">
        <v>62.0</v>
      </c>
      <c r="D46" s="20">
        <v>62.0</v>
      </c>
      <c r="E46" s="20">
        <v>62.0</v>
      </c>
      <c r="F46" s="20">
        <v>62.0</v>
      </c>
      <c r="G46" s="20">
        <v>62.0</v>
      </c>
      <c r="H46" s="20">
        <v>62.0</v>
      </c>
      <c r="I46" s="70">
        <v>62.0</v>
      </c>
      <c r="J46" s="67"/>
      <c r="K46" s="67"/>
      <c r="L46" s="71" t="s">
        <v>76</v>
      </c>
      <c r="M46" s="70">
        <f t="shared" si="1"/>
        <v>434.0</v>
      </c>
      <c r="N46" s="69"/>
    </row>
    <row r="47" spans="8:8" ht="15.0" customHeight="1">
      <c r="A47" s="20">
        <v>37.0</v>
      </c>
      <c r="B47" s="25">
        <f>'STUFFING REPORT'!B57</f>
        <v>0.0</v>
      </c>
      <c r="C47" s="20">
        <v>62.0</v>
      </c>
      <c r="D47" s="20">
        <v>62.0</v>
      </c>
      <c r="E47" s="20">
        <v>62.0</v>
      </c>
      <c r="F47" s="20">
        <v>62.0</v>
      </c>
      <c r="G47" s="20">
        <v>62.0</v>
      </c>
      <c r="H47" s="20">
        <v>62.0</v>
      </c>
      <c r="I47" s="70">
        <v>62.0</v>
      </c>
      <c r="J47" s="67"/>
      <c r="K47" s="67"/>
      <c r="L47" s="71" t="s">
        <v>76</v>
      </c>
      <c r="M47" s="70">
        <f t="shared" si="1"/>
        <v>434.0</v>
      </c>
      <c r="N47" s="69"/>
    </row>
    <row r="48" spans="8:8" ht="15.0" customHeight="1">
      <c r="A48" s="20">
        <v>38.0</v>
      </c>
      <c r="B48" s="25">
        <f>'STUFFING REPORT'!B58</f>
        <v>0.0</v>
      </c>
      <c r="C48" s="20">
        <v>62.0</v>
      </c>
      <c r="D48" s="20">
        <v>62.0</v>
      </c>
      <c r="E48" s="20">
        <v>62.0</v>
      </c>
      <c r="F48" s="20">
        <v>62.0</v>
      </c>
      <c r="G48" s="20">
        <v>62.0</v>
      </c>
      <c r="H48" s="20">
        <v>62.0</v>
      </c>
      <c r="I48" s="70">
        <v>62.0</v>
      </c>
      <c r="J48" s="67"/>
      <c r="K48" s="67"/>
      <c r="L48" s="71" t="s">
        <v>76</v>
      </c>
      <c r="M48" s="70">
        <f t="shared" si="1"/>
        <v>434.0</v>
      </c>
      <c r="N48" s="69"/>
    </row>
    <row r="49" spans="8:8" ht="15.0" customHeight="1">
      <c r="A49" s="20">
        <v>39.0</v>
      </c>
      <c r="B49" s="25">
        <f>'STUFFING REPORT'!B59</f>
        <v>0.0</v>
      </c>
      <c r="C49" s="20">
        <v>62.0</v>
      </c>
      <c r="D49" s="20">
        <v>62.0</v>
      </c>
      <c r="E49" s="20">
        <v>62.0</v>
      </c>
      <c r="F49" s="20">
        <v>62.0</v>
      </c>
      <c r="G49" s="20">
        <v>62.0</v>
      </c>
      <c r="H49" s="20">
        <v>62.0</v>
      </c>
      <c r="I49" s="70">
        <v>62.0</v>
      </c>
      <c r="J49" s="67"/>
      <c r="K49" s="67"/>
      <c r="L49" s="71" t="s">
        <v>76</v>
      </c>
      <c r="M49" s="70">
        <f t="shared" si="1"/>
        <v>434.0</v>
      </c>
      <c r="N49" s="69"/>
    </row>
    <row r="50" spans="8:8" ht="15.0" customHeight="1">
      <c r="A50" s="20">
        <v>40.0</v>
      </c>
      <c r="B50" s="25">
        <f>'STUFFING REPORT'!B60</f>
        <v>0.0</v>
      </c>
      <c r="C50" s="20">
        <v>62.0</v>
      </c>
      <c r="D50" s="20">
        <v>62.0</v>
      </c>
      <c r="E50" s="20">
        <v>62.0</v>
      </c>
      <c r="F50" s="20">
        <v>62.0</v>
      </c>
      <c r="G50" s="20">
        <v>62.0</v>
      </c>
      <c r="H50" s="20">
        <v>62.0</v>
      </c>
      <c r="I50" s="70">
        <v>62.0</v>
      </c>
      <c r="J50" s="67"/>
      <c r="K50" s="67"/>
      <c r="L50" s="71" t="s">
        <v>76</v>
      </c>
      <c r="M50" s="70">
        <f t="shared" si="1"/>
        <v>434.0</v>
      </c>
      <c r="N50" s="72"/>
    </row>
    <row r="51" spans="8:8" ht="15.0" customHeight="1">
      <c r="A51" s="20"/>
      <c r="B51" s="25"/>
      <c r="C51" s="20"/>
      <c r="D51" s="20"/>
      <c r="E51" s="20"/>
      <c r="F51" s="20"/>
      <c r="G51" s="20"/>
      <c r="H51" s="20"/>
      <c r="I51" s="20"/>
      <c r="J51" s="73" t="s">
        <v>29</v>
      </c>
      <c r="K51" s="47"/>
      <c r="L51" s="6"/>
      <c r="M51" s="7">
        <f>SUM(M11:M50)</f>
        <v>17360.0</v>
      </c>
      <c r="N51" s="74">
        <f>SUM(N11:N50)</f>
        <v>0.0</v>
      </c>
    </row>
  </sheetData>
  <mergeCells count="23">
    <mergeCell ref="J51:L51"/>
    <mergeCell ref="N9:N10"/>
    <mergeCell ref="C4:E4"/>
    <mergeCell ref="A9:A10"/>
    <mergeCell ref="B9:B10"/>
    <mergeCell ref="F5:G5"/>
    <mergeCell ref="H7:J7"/>
    <mergeCell ref="A5:B5"/>
    <mergeCell ref="M9:M10"/>
    <mergeCell ref="A6:B6"/>
    <mergeCell ref="H4:J4"/>
    <mergeCell ref="C9:L9"/>
    <mergeCell ref="F4:G4"/>
    <mergeCell ref="H6:J6"/>
    <mergeCell ref="C7:E7"/>
    <mergeCell ref="C6:E6"/>
    <mergeCell ref="B2:M2"/>
    <mergeCell ref="H5:J5"/>
    <mergeCell ref="A7:B7"/>
    <mergeCell ref="F6:G6"/>
    <mergeCell ref="F7:G7"/>
    <mergeCell ref="C5:E5"/>
    <mergeCell ref="A4:B4"/>
  </mergeCells>
  <pageMargins left="0.75" right="0.75" top="1.0" bottom="1.0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Q49"/>
  <sheetViews>
    <sheetView workbookViewId="0" topLeftCell="E21" zoomScale="90">
      <selection activeCell="A37" sqref="A37:XFD49"/>
    </sheetView>
  </sheetViews>
  <sheetFormatPr defaultRowHeight="15.0" customHeight="1" defaultColWidth="13"/>
  <cols>
    <col min="1" max="1" customWidth="1" width="10.761719" style="0"/>
    <col min="2" max="2" customWidth="1" width="17.753906" style="0"/>
    <col min="3" max="3" customWidth="1" width="13.5859375" style="0"/>
    <col min="4" max="4" customWidth="1" width="11.433594" style="0"/>
    <col min="5" max="5" customWidth="1" width="10.761719" style="0"/>
    <col min="6" max="6" customWidth="1" width="9.953125" style="0"/>
    <col min="7" max="7" customWidth="1" width="10.222656" style="0"/>
    <col min="8" max="8" customWidth="1" width="10.4921875" style="0"/>
    <col min="9" max="9" customWidth="1" width="9.953125" style="0"/>
    <col min="10" max="10" customWidth="1" width="13.1796875" style="0"/>
    <col min="11" max="11" customWidth="1" width="13.046875" style="0"/>
    <col min="12" max="12" customWidth="1" width="12.375" style="0"/>
    <col min="13" max="13" customWidth="1" width="9.953125" style="0"/>
  </cols>
  <sheetData>
    <row r="2" spans="8:8" ht="21.0">
      <c r="A2" s="1" t="s">
        <v>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8:8" ht="15.0">
      <c r="A4" s="27" t="s">
        <v>78</v>
      </c>
      <c r="B4" s="4">
        <f>'STUFFING REPORT'!E8</f>
        <v>0.0</v>
      </c>
      <c r="C4" s="42"/>
      <c r="D4" s="6"/>
      <c r="E4" s="4" t="s">
        <v>79</v>
      </c>
      <c r="F4" s="42"/>
      <c r="G4" s="42"/>
      <c r="H4" s="6"/>
      <c r="I4" s="4">
        <f>'STUFFING REPORT'!E13</f>
        <v>0.0</v>
      </c>
      <c r="J4" s="42"/>
      <c r="K4" s="42"/>
      <c r="L4" s="6"/>
      <c r="M4" s="75"/>
    </row>
    <row r="5" spans="8:8" ht="15.0">
      <c r="A5" s="27" t="s">
        <v>6</v>
      </c>
      <c r="B5" s="4">
        <f>'STUFFING REPORT'!E10</f>
        <v>0.0</v>
      </c>
      <c r="C5" s="42"/>
      <c r="D5" s="6"/>
      <c r="E5" s="4" t="s">
        <v>80</v>
      </c>
      <c r="F5" s="42"/>
      <c r="G5" s="42"/>
      <c r="H5" s="6"/>
      <c r="I5" s="27" t="s">
        <v>81</v>
      </c>
      <c r="J5" s="76">
        <f>'STUFFING REPORT'!F6</f>
        <v>45784.0</v>
      </c>
      <c r="K5" s="27" t="s">
        <v>82</v>
      </c>
      <c r="L5" s="77">
        <f>'STUFFING REPORT'!D21</f>
        <v>0.0</v>
      </c>
    </row>
    <row r="6" spans="8:8" ht="15.0">
      <c r="A6" s="27" t="s">
        <v>83</v>
      </c>
      <c r="B6" s="4">
        <f>'STUFFING REPORT'!E14</f>
        <v>0.0</v>
      </c>
      <c r="C6" s="42"/>
      <c r="D6" s="6"/>
      <c r="E6" s="4" t="s">
        <v>84</v>
      </c>
      <c r="F6" s="42"/>
      <c r="G6" s="42"/>
      <c r="H6" s="6"/>
      <c r="I6" s="27" t="s">
        <v>81</v>
      </c>
      <c r="J6" s="76"/>
      <c r="K6" s="27" t="s">
        <v>82</v>
      </c>
      <c r="L6" s="77">
        <f>'STUFFING REPORT'!E30</f>
        <v>0.0</v>
      </c>
    </row>
    <row r="8" spans="8:8" ht="18.95" customHeight="1">
      <c r="A8" s="78" t="s">
        <v>85</v>
      </c>
      <c r="B8" s="78" t="s">
        <v>86</v>
      </c>
      <c r="C8" s="79" t="s">
        <v>87</v>
      </c>
      <c r="D8" s="79" t="s">
        <v>88</v>
      </c>
      <c r="E8" s="79" t="s">
        <v>89</v>
      </c>
      <c r="F8" s="41" t="s">
        <v>90</v>
      </c>
      <c r="G8" s="42"/>
      <c r="H8" s="42"/>
      <c r="I8" s="42"/>
      <c r="J8" s="6"/>
      <c r="K8" s="79" t="s">
        <v>91</v>
      </c>
      <c r="L8" s="79" t="s">
        <v>92</v>
      </c>
    </row>
    <row r="9" spans="8:8" ht="45.95" customHeight="1">
      <c r="A9" s="61"/>
      <c r="B9" s="61"/>
      <c r="C9" s="61"/>
      <c r="D9" s="61"/>
      <c r="E9" s="61"/>
      <c r="F9" s="80" t="s">
        <v>93</v>
      </c>
      <c r="G9" s="81"/>
      <c r="H9" s="81" t="s">
        <v>120</v>
      </c>
      <c r="I9" s="20"/>
      <c r="J9" s="20"/>
      <c r="K9" s="61"/>
      <c r="L9" s="61"/>
    </row>
    <row r="10" spans="8:8" ht="15.0">
      <c r="A10" s="20">
        <v>1.0</v>
      </c>
      <c r="B10" s="25">
        <f>'STUFFING REPORT'!B21</f>
        <v>0.0</v>
      </c>
      <c r="C10" s="20">
        <f>'STUFFING REPORT'!F21</f>
        <v>500.0</v>
      </c>
      <c r="D10" s="20"/>
      <c r="E10" s="20">
        <f>C10*D10</f>
        <v>0.0</v>
      </c>
      <c r="F10" s="20">
        <v>0.012</v>
      </c>
      <c r="G10" s="20"/>
      <c r="H10" s="20"/>
      <c r="I10" s="20"/>
      <c r="J10" s="20"/>
      <c r="K10" s="20"/>
      <c r="L10" s="20">
        <f>SUM(E10:K10)</f>
        <v>0.012</v>
      </c>
    </row>
    <row r="11" spans="8:8" ht="15.0">
      <c r="A11" s="20">
        <v>2.0</v>
      </c>
      <c r="B11" s="25">
        <f>'STUFFING REPORT'!B22</f>
        <v>0.0</v>
      </c>
      <c r="C11" s="20">
        <f>'STUFFING REPORT'!F22</f>
        <v>500.0</v>
      </c>
      <c r="D11" s="20"/>
      <c r="E11" s="20">
        <f>C11*D11</f>
        <v>0.0</v>
      </c>
      <c r="F11" s="20">
        <v>0.012</v>
      </c>
      <c r="G11" s="20"/>
      <c r="H11" s="20"/>
      <c r="I11" s="20"/>
      <c r="J11" s="20"/>
      <c r="K11" s="20"/>
      <c r="L11" s="20">
        <f>SUM(E11:K11)</f>
        <v>0.012</v>
      </c>
    </row>
    <row r="12" spans="8:8" ht="15.0">
      <c r="A12" s="20">
        <v>3.0</v>
      </c>
      <c r="B12" s="25">
        <f>'STUFFING REPORT'!B23</f>
        <v>0.0</v>
      </c>
      <c r="C12" s="20">
        <f>'STUFFING REPORT'!F23</f>
        <v>500.0</v>
      </c>
      <c r="D12" s="20"/>
      <c r="E12" s="20">
        <f>C12*D12</f>
        <v>0.0</v>
      </c>
      <c r="F12" s="20">
        <v>0.012</v>
      </c>
      <c r="G12" s="20"/>
      <c r="H12" s="20"/>
      <c r="I12" s="20"/>
      <c r="J12" s="20"/>
      <c r="K12" s="20"/>
      <c r="L12" s="20">
        <f>SUM(E12:K12)</f>
        <v>0.012</v>
      </c>
    </row>
    <row r="13" spans="8:8" ht="15.0">
      <c r="A13" s="20">
        <v>4.0</v>
      </c>
      <c r="B13" s="25">
        <f>'STUFFING REPORT'!B24</f>
        <v>0.0</v>
      </c>
      <c r="C13" s="20">
        <f>'STUFFING REPORT'!F24</f>
        <v>500.0</v>
      </c>
      <c r="D13" s="20"/>
      <c r="E13" s="20">
        <f>C13*D13</f>
        <v>0.0</v>
      </c>
      <c r="F13" s="20">
        <v>0.012</v>
      </c>
      <c r="G13" s="20"/>
      <c r="H13" s="20"/>
      <c r="I13" s="20"/>
      <c r="J13" s="20"/>
      <c r="K13" s="20"/>
      <c r="L13" s="20">
        <f>SUM(E13:K13)</f>
        <v>0.012</v>
      </c>
    </row>
    <row r="14" spans="8:8" ht="15.0">
      <c r="A14" s="20">
        <v>5.0</v>
      </c>
      <c r="B14" s="25">
        <f>'STUFFING REPORT'!B25</f>
        <v>0.0</v>
      </c>
      <c r="C14" s="20">
        <f>'STUFFING REPORT'!F25</f>
        <v>500.0</v>
      </c>
      <c r="D14" s="20"/>
      <c r="E14" s="20">
        <f>C14*D14</f>
        <v>0.0</v>
      </c>
      <c r="F14" s="20">
        <v>0.012</v>
      </c>
      <c r="G14" s="20"/>
      <c r="H14" s="20"/>
      <c r="I14" s="20"/>
      <c r="J14" s="20"/>
      <c r="K14" s="20"/>
      <c r="L14" s="20">
        <f>SUM(E14:K14)</f>
        <v>0.012</v>
      </c>
    </row>
    <row r="15" spans="8:8" ht="15.0">
      <c r="A15" s="20">
        <v>6.0</v>
      </c>
      <c r="B15" s="25">
        <f>'STUFFING REPORT'!B26</f>
        <v>0.0</v>
      </c>
      <c r="C15" s="20">
        <f>'STUFFING REPORT'!F26</f>
        <v>500.0</v>
      </c>
      <c r="D15" s="20"/>
      <c r="E15" s="20">
        <f>C15*D15</f>
        <v>0.0</v>
      </c>
      <c r="F15" s="20">
        <v>0.012</v>
      </c>
      <c r="G15" s="20"/>
      <c r="H15" s="20"/>
      <c r="I15" s="20"/>
      <c r="J15" s="20"/>
      <c r="K15" s="20"/>
      <c r="L15" s="20">
        <f>SUM(E15:K15)</f>
        <v>0.012</v>
      </c>
    </row>
    <row r="16" spans="8:8" ht="15.0">
      <c r="A16" s="20">
        <v>7.0</v>
      </c>
      <c r="B16" s="25">
        <f>'STUFFING REPORT'!B27</f>
        <v>0.0</v>
      </c>
      <c r="C16" s="20">
        <f>'STUFFING REPORT'!F27</f>
        <v>500.0</v>
      </c>
      <c r="D16" s="20"/>
      <c r="E16" s="20">
        <f>C16*D16</f>
        <v>0.0</v>
      </c>
      <c r="F16" s="20">
        <v>0.012</v>
      </c>
      <c r="G16" s="20"/>
      <c r="H16" s="20"/>
      <c r="I16" s="20"/>
      <c r="J16" s="20"/>
      <c r="K16" s="20"/>
      <c r="L16" s="20">
        <f>SUM(E16:K16)</f>
        <v>0.012</v>
      </c>
    </row>
    <row r="17" spans="8:8" ht="15.0">
      <c r="A17" s="20">
        <v>8.0</v>
      </c>
      <c r="B17" s="25">
        <f>'STUFFING REPORT'!B28</f>
        <v>0.0</v>
      </c>
      <c r="C17" s="20">
        <f>'STUFFING REPORT'!F28</f>
        <v>500.0</v>
      </c>
      <c r="D17" s="20"/>
      <c r="E17" s="20">
        <f>C17*D17</f>
        <v>0.0</v>
      </c>
      <c r="F17" s="20">
        <v>0.012</v>
      </c>
      <c r="G17" s="20"/>
      <c r="H17" s="20"/>
      <c r="I17" s="20"/>
      <c r="J17" s="20"/>
      <c r="K17" s="20"/>
      <c r="L17" s="20">
        <f>SUM(E17:K17)</f>
        <v>0.012</v>
      </c>
    </row>
    <row r="18" spans="8:8" ht="15.0">
      <c r="A18" s="20">
        <v>9.0</v>
      </c>
      <c r="B18" s="25">
        <f>'STUFFING REPORT'!B29</f>
        <v>0.0</v>
      </c>
      <c r="C18" s="20">
        <f>'STUFFING REPORT'!F29</f>
        <v>500.0</v>
      </c>
      <c r="D18" s="20"/>
      <c r="E18" s="20">
        <f>C18*D18</f>
        <v>0.0</v>
      </c>
      <c r="F18" s="20">
        <v>0.012</v>
      </c>
      <c r="G18" s="20"/>
      <c r="H18" s="20"/>
      <c r="I18" s="20"/>
      <c r="J18" s="20"/>
      <c r="K18" s="20"/>
      <c r="L18" s="20">
        <f>SUM(E18:K18)</f>
        <v>0.012</v>
      </c>
    </row>
    <row r="19" spans="8:8" ht="15.0">
      <c r="A19" s="20">
        <v>10.0</v>
      </c>
      <c r="B19" s="25">
        <f>'STUFFING REPORT'!B30</f>
        <v>0.0</v>
      </c>
      <c r="C19" s="20">
        <f>'STUFFING REPORT'!F30</f>
        <v>500.0</v>
      </c>
      <c r="D19" s="20"/>
      <c r="E19" s="20">
        <f>C19*D19</f>
        <v>0.0</v>
      </c>
      <c r="F19" s="20">
        <v>0.012</v>
      </c>
      <c r="G19" s="20"/>
      <c r="H19" s="20"/>
      <c r="I19" s="20"/>
      <c r="J19" s="20"/>
      <c r="K19" s="20"/>
      <c r="L19" s="20">
        <f>SUM(E19:K19)</f>
        <v>0.012</v>
      </c>
    </row>
    <row r="20" spans="8:8" ht="15.0">
      <c r="A20" s="20">
        <v>11.0</v>
      </c>
      <c r="B20" s="25">
        <f>'STUFFING REPORT'!B31</f>
        <v>0.0</v>
      </c>
      <c r="C20" s="20">
        <f>'STUFFING REPORT'!F31</f>
        <v>500.0</v>
      </c>
      <c r="D20" s="20"/>
      <c r="E20" s="20">
        <f t="shared" si="0" ref="E20:E28">C20*D20</f>
        <v>0.0</v>
      </c>
      <c r="F20" s="20">
        <v>0.012</v>
      </c>
      <c r="G20" s="20"/>
      <c r="H20" s="20"/>
      <c r="I20" s="20"/>
      <c r="J20" s="20"/>
      <c r="K20" s="20"/>
      <c r="L20" s="20">
        <f t="shared" si="1" ref="L20:L28">SUM(E20:K20)</f>
        <v>0.012</v>
      </c>
    </row>
    <row r="21" spans="8:8" ht="15.0">
      <c r="A21" s="20">
        <v>12.0</v>
      </c>
      <c r="B21" s="25">
        <f>'STUFFING REPORT'!B32</f>
        <v>0.0</v>
      </c>
      <c r="C21" s="20">
        <f>'STUFFING REPORT'!F32</f>
        <v>500.0</v>
      </c>
      <c r="D21" s="20"/>
      <c r="E21" s="20">
        <f t="shared" si="0"/>
        <v>0.0</v>
      </c>
      <c r="F21" s="20">
        <v>0.012</v>
      </c>
      <c r="G21" s="20"/>
      <c r="H21" s="20"/>
      <c r="I21" s="20"/>
      <c r="J21" s="20"/>
      <c r="K21" s="20"/>
      <c r="L21" s="20">
        <f t="shared" si="1"/>
        <v>0.012</v>
      </c>
    </row>
    <row r="22" spans="8:8" ht="15.0">
      <c r="A22" s="20">
        <v>13.0</v>
      </c>
      <c r="B22" s="25">
        <f>'STUFFING REPORT'!B33</f>
        <v>0.0</v>
      </c>
      <c r="C22" s="20">
        <f>'STUFFING REPORT'!F33</f>
        <v>500.0</v>
      </c>
      <c r="D22" s="20"/>
      <c r="E22" s="20">
        <f t="shared" si="0"/>
        <v>0.0</v>
      </c>
      <c r="F22" s="20">
        <v>0.012</v>
      </c>
      <c r="G22" s="20"/>
      <c r="H22" s="20"/>
      <c r="I22" s="20"/>
      <c r="J22" s="20"/>
      <c r="K22" s="20"/>
      <c r="L22" s="20">
        <f t="shared" si="1"/>
        <v>0.012</v>
      </c>
    </row>
    <row r="23" spans="8:8" ht="15.0">
      <c r="A23" s="20">
        <v>14.0</v>
      </c>
      <c r="B23" s="25">
        <f>'STUFFING REPORT'!B34</f>
        <v>0.0</v>
      </c>
      <c r="C23" s="20">
        <f>'STUFFING REPORT'!F34</f>
        <v>500.0</v>
      </c>
      <c r="D23" s="20"/>
      <c r="E23" s="20">
        <f t="shared" si="0"/>
        <v>0.0</v>
      </c>
      <c r="F23" s="20">
        <v>0.012</v>
      </c>
      <c r="G23" s="20"/>
      <c r="H23" s="20"/>
      <c r="I23" s="20"/>
      <c r="J23" s="20"/>
      <c r="K23" s="20"/>
      <c r="L23" s="20">
        <f t="shared" si="1"/>
        <v>0.012</v>
      </c>
    </row>
    <row r="24" spans="8:8" ht="15.0">
      <c r="A24" s="20">
        <v>15.0</v>
      </c>
      <c r="B24" s="25">
        <f>'STUFFING REPORT'!B35</f>
        <v>0.0</v>
      </c>
      <c r="C24" s="20">
        <f>'STUFFING REPORT'!F35</f>
        <v>500.0</v>
      </c>
      <c r="D24" s="20"/>
      <c r="E24" s="20">
        <f t="shared" si="0"/>
        <v>0.0</v>
      </c>
      <c r="F24" s="20">
        <v>0.012</v>
      </c>
      <c r="G24" s="20"/>
      <c r="H24" s="20"/>
      <c r="I24" s="20"/>
      <c r="J24" s="20"/>
      <c r="K24" s="20"/>
      <c r="L24" s="20">
        <f t="shared" si="1"/>
        <v>0.012</v>
      </c>
    </row>
    <row r="25" spans="8:8" ht="15.0">
      <c r="A25" s="20">
        <v>16.0</v>
      </c>
      <c r="B25" s="25">
        <f>'STUFFING REPORT'!B36</f>
        <v>0.0</v>
      </c>
      <c r="C25" s="20">
        <f>'STUFFING REPORT'!F36</f>
        <v>500.0</v>
      </c>
      <c r="D25" s="20"/>
      <c r="E25" s="20">
        <f t="shared" si="0"/>
        <v>0.0</v>
      </c>
      <c r="F25" s="20">
        <v>0.012</v>
      </c>
      <c r="G25" s="20"/>
      <c r="H25" s="20"/>
      <c r="I25" s="20"/>
      <c r="J25" s="20"/>
      <c r="K25" s="20"/>
      <c r="L25" s="20">
        <f t="shared" si="1"/>
        <v>0.012</v>
      </c>
    </row>
    <row r="26" spans="8:8" ht="15.0">
      <c r="A26" s="20">
        <v>17.0</v>
      </c>
      <c r="B26" s="25">
        <f>'STUFFING REPORT'!B37</f>
        <v>0.0</v>
      </c>
      <c r="C26" s="20">
        <f>'STUFFING REPORT'!F37</f>
        <v>500.0</v>
      </c>
      <c r="D26" s="20"/>
      <c r="E26" s="20">
        <f t="shared" si="0"/>
        <v>0.0</v>
      </c>
      <c r="F26" s="20">
        <v>0.012</v>
      </c>
      <c r="G26" s="20"/>
      <c r="H26" s="20"/>
      <c r="I26" s="20"/>
      <c r="J26" s="20"/>
      <c r="K26" s="20"/>
      <c r="L26" s="20">
        <f t="shared" si="1"/>
        <v>0.012</v>
      </c>
    </row>
    <row r="27" spans="8:8" ht="15.0">
      <c r="A27" s="20">
        <v>18.0</v>
      </c>
      <c r="B27" s="25">
        <f>'STUFFING REPORT'!B38</f>
        <v>0.0</v>
      </c>
      <c r="C27" s="20">
        <f>'STUFFING REPORT'!F38</f>
        <v>500.0</v>
      </c>
      <c r="D27" s="20"/>
      <c r="E27" s="20">
        <f t="shared" si="0"/>
        <v>0.0</v>
      </c>
      <c r="F27" s="20">
        <v>0.012</v>
      </c>
      <c r="G27" s="20"/>
      <c r="H27" s="20"/>
      <c r="I27" s="20"/>
      <c r="J27" s="20"/>
      <c r="K27" s="20"/>
      <c r="L27" s="20">
        <f t="shared" si="1"/>
        <v>0.012</v>
      </c>
    </row>
    <row r="28" spans="8:8" ht="15.0" customHeight="1">
      <c r="A28" s="20">
        <v>19.0</v>
      </c>
      <c r="B28" s="25">
        <f>'STUFFING REPORT'!B39</f>
        <v>0.0</v>
      </c>
      <c r="C28" s="20">
        <f>'STUFFING REPORT'!F39</f>
        <v>500.0</v>
      </c>
      <c r="D28" s="20"/>
      <c r="E28" s="20">
        <f t="shared" si="0"/>
        <v>0.0</v>
      </c>
      <c r="F28" s="20">
        <v>0.012</v>
      </c>
      <c r="G28" s="20"/>
      <c r="H28" s="20"/>
      <c r="I28" s="20"/>
      <c r="J28" s="20"/>
      <c r="K28" s="20"/>
      <c r="L28" s="20">
        <f t="shared" si="1"/>
        <v>0.012</v>
      </c>
    </row>
    <row r="29" spans="8:8" ht="15.0" customHeight="1">
      <c r="A29" s="20">
        <v>20.0</v>
      </c>
      <c r="B29" s="25">
        <f>'STUFFING REPORT'!B40</f>
        <v>0.0</v>
      </c>
      <c r="C29" s="20">
        <f>'STUFFING REPORT'!F49</f>
        <v>500.0</v>
      </c>
      <c r="D29" s="20"/>
      <c r="E29" s="20">
        <f t="shared" si="2" ref="E29:E30">C29*D29</f>
        <v>0.0</v>
      </c>
      <c r="F29" s="20">
        <v>0.012</v>
      </c>
      <c r="G29" s="20"/>
      <c r="H29" s="20"/>
      <c r="I29" s="20"/>
      <c r="J29" s="20"/>
      <c r="K29" s="20"/>
      <c r="L29" s="20">
        <f t="shared" si="3" ref="L29:L30">SUM(E29:K29)</f>
        <v>0.012</v>
      </c>
    </row>
    <row r="30" spans="8:8" ht="15.0" customHeight="1">
      <c r="A30" s="20">
        <v>21.0</v>
      </c>
      <c r="B30" s="25">
        <f>'STUFFING REPORT'!B41</f>
        <v>0.0</v>
      </c>
      <c r="C30" s="20">
        <f>'STUFFING REPORT'!F41</f>
        <v>500.0</v>
      </c>
      <c r="D30" s="20"/>
      <c r="E30" s="20">
        <f t="shared" si="2"/>
        <v>0.0</v>
      </c>
      <c r="F30" s="20">
        <v>0.012</v>
      </c>
      <c r="G30" s="20"/>
      <c r="H30" s="20"/>
      <c r="I30" s="20"/>
      <c r="J30" s="20"/>
      <c r="K30" s="20"/>
      <c r="L30" s="20">
        <f t="shared" si="3"/>
        <v>0.012</v>
      </c>
    </row>
    <row r="31" spans="8:8" ht="15.0" customHeight="1">
      <c r="A31" s="20">
        <v>22.0</v>
      </c>
      <c r="B31" s="25">
        <f>'STUFFING REPORT'!B42</f>
        <v>0.0</v>
      </c>
      <c r="C31" s="20">
        <f>'STUFFING REPORT'!F42</f>
        <v>500.0</v>
      </c>
      <c r="D31" s="20"/>
      <c r="E31" s="20">
        <f t="shared" si="4" ref="E31:E49">C31*D31</f>
        <v>0.0</v>
      </c>
      <c r="F31" s="20">
        <v>0.012</v>
      </c>
      <c r="G31" s="20"/>
      <c r="H31" s="20"/>
      <c r="I31" s="20"/>
      <c r="J31" s="20"/>
      <c r="K31" s="20"/>
      <c r="L31" s="20">
        <f t="shared" si="5" ref="L31:L49">SUM(E31:K31)</f>
        <v>0.012</v>
      </c>
    </row>
    <row r="32" spans="8:8" ht="15.0" customHeight="1">
      <c r="A32" s="20">
        <v>23.0</v>
      </c>
      <c r="B32" s="25">
        <f>'STUFFING REPORT'!B43</f>
        <v>0.0</v>
      </c>
      <c r="C32" s="20">
        <f>'STUFFING REPORT'!F43</f>
        <v>500.0</v>
      </c>
      <c r="D32" s="20"/>
      <c r="E32" s="20">
        <f t="shared" si="4"/>
        <v>0.0</v>
      </c>
      <c r="F32" s="20">
        <v>0.012</v>
      </c>
      <c r="G32" s="20"/>
      <c r="H32" s="20"/>
      <c r="I32" s="20"/>
      <c r="J32" s="20"/>
      <c r="K32" s="20"/>
      <c r="L32" s="20">
        <f t="shared" si="5"/>
        <v>0.012</v>
      </c>
    </row>
    <row r="33" spans="8:8" ht="15.0" customHeight="1">
      <c r="A33" s="20">
        <v>24.0</v>
      </c>
      <c r="B33" s="25">
        <f>'STUFFING REPORT'!B44</f>
        <v>0.0</v>
      </c>
      <c r="C33" s="20">
        <f>'STUFFING REPORT'!F44</f>
        <v>500.0</v>
      </c>
      <c r="D33" s="20"/>
      <c r="E33" s="20">
        <f t="shared" si="4"/>
        <v>0.0</v>
      </c>
      <c r="F33" s="20">
        <v>0.012</v>
      </c>
      <c r="G33" s="20"/>
      <c r="H33" s="20"/>
      <c r="I33" s="20"/>
      <c r="J33" s="20"/>
      <c r="K33" s="20"/>
      <c r="L33" s="20">
        <f t="shared" si="5"/>
        <v>0.012</v>
      </c>
    </row>
    <row r="34" spans="8:8" ht="15.0" customHeight="1">
      <c r="A34" s="20">
        <v>25.0</v>
      </c>
      <c r="B34" s="25">
        <f>'STUFFING REPORT'!B45</f>
        <v>0.0</v>
      </c>
      <c r="C34" s="20">
        <f>'STUFFING REPORT'!F45</f>
        <v>500.0</v>
      </c>
      <c r="D34" s="20"/>
      <c r="E34" s="20">
        <f t="shared" si="4"/>
        <v>0.0</v>
      </c>
      <c r="F34" s="20">
        <v>0.012</v>
      </c>
      <c r="G34" s="20"/>
      <c r="H34" s="20"/>
      <c r="I34" s="20"/>
      <c r="J34" s="20"/>
      <c r="K34" s="20"/>
      <c r="L34" s="20">
        <f t="shared" si="5"/>
        <v>0.012</v>
      </c>
    </row>
    <row r="35" spans="8:8" ht="15.0" customHeight="1">
      <c r="A35" s="20">
        <v>26.0</v>
      </c>
      <c r="B35" s="25">
        <f>'STUFFING REPORT'!B46</f>
        <v>0.0</v>
      </c>
      <c r="C35" s="20">
        <f>'STUFFING REPORT'!F46</f>
        <v>500.0</v>
      </c>
      <c r="D35" s="20"/>
      <c r="E35" s="20">
        <f t="shared" si="4"/>
        <v>0.0</v>
      </c>
      <c r="F35" s="20">
        <v>0.012</v>
      </c>
      <c r="G35" s="20"/>
      <c r="H35" s="20"/>
      <c r="I35" s="20"/>
      <c r="J35" s="20"/>
      <c r="K35" s="20"/>
      <c r="L35" s="20">
        <f t="shared" si="5"/>
        <v>0.012</v>
      </c>
    </row>
    <row r="36" spans="8:8" ht="15.0" customHeight="1">
      <c r="A36" s="20">
        <v>27.0</v>
      </c>
      <c r="B36" s="25">
        <f>'STUFFING REPORT'!B47</f>
        <v>0.0</v>
      </c>
      <c r="C36" s="20">
        <f>'STUFFING REPORT'!F47</f>
        <v>500.0</v>
      </c>
      <c r="D36" s="20"/>
      <c r="E36" s="20">
        <f t="shared" si="4"/>
        <v>0.0</v>
      </c>
      <c r="F36" s="20">
        <v>0.012</v>
      </c>
      <c r="G36" s="20"/>
      <c r="H36" s="20"/>
      <c r="I36" s="20"/>
      <c r="J36" s="20"/>
      <c r="K36" s="20"/>
      <c r="L36" s="20">
        <f t="shared" si="5"/>
        <v>0.012</v>
      </c>
    </row>
    <row r="37" spans="8:8" ht="15.0" customHeight="1">
      <c r="A37" s="20">
        <v>28.0</v>
      </c>
      <c r="B37" s="25">
        <f>'STUFFING REPORT'!B48</f>
        <v>0.0</v>
      </c>
      <c r="C37" s="20">
        <f>'STUFFING REPORT'!F48</f>
        <v>500.0</v>
      </c>
      <c r="D37" s="20"/>
      <c r="E37" s="20">
        <f t="shared" si="4"/>
        <v>0.0</v>
      </c>
      <c r="F37" s="20">
        <v>0.012</v>
      </c>
      <c r="G37" s="20"/>
      <c r="H37" s="20"/>
      <c r="I37" s="20"/>
      <c r="J37" s="20"/>
      <c r="K37" s="20"/>
      <c r="L37" s="20">
        <f t="shared" si="5"/>
        <v>0.012</v>
      </c>
    </row>
    <row r="38" spans="8:8" ht="15.0" customHeight="1">
      <c r="A38" s="20">
        <v>29.0</v>
      </c>
      <c r="B38" s="25">
        <f>'STUFFING REPORT'!B49</f>
        <v>0.0</v>
      </c>
      <c r="C38" s="20">
        <f>'STUFFING REPORT'!F49</f>
        <v>500.0</v>
      </c>
      <c r="D38" s="20"/>
      <c r="E38" s="20">
        <f t="shared" si="4"/>
        <v>0.0</v>
      </c>
      <c r="F38" s="20">
        <v>0.012</v>
      </c>
      <c r="G38" s="20"/>
      <c r="H38" s="20"/>
      <c r="I38" s="20"/>
      <c r="J38" s="20"/>
      <c r="K38" s="20"/>
      <c r="L38" s="20">
        <f t="shared" si="5"/>
        <v>0.012</v>
      </c>
    </row>
    <row r="39" spans="8:8" ht="15.0" customHeight="1">
      <c r="A39" s="20">
        <v>30.0</v>
      </c>
      <c r="B39" s="25">
        <f>'STUFFING REPORT'!B50</f>
        <v>0.0</v>
      </c>
      <c r="C39" s="20">
        <f>'STUFFING REPORT'!F50</f>
        <v>500.0</v>
      </c>
      <c r="D39" s="20"/>
      <c r="E39" s="20">
        <f t="shared" si="6" ref="E39:E49">C39*D39</f>
        <v>0.0</v>
      </c>
      <c r="F39" s="20">
        <v>0.012</v>
      </c>
      <c r="G39" s="20"/>
      <c r="H39" s="20"/>
      <c r="I39" s="20"/>
      <c r="J39" s="20"/>
      <c r="K39" s="20"/>
      <c r="L39" s="20">
        <f t="shared" si="7" ref="L39:L49">SUM(E39:K39)</f>
        <v>0.012</v>
      </c>
    </row>
    <row r="40" spans="8:8" ht="15.0" customHeight="1">
      <c r="A40" s="20">
        <v>31.0</v>
      </c>
      <c r="B40" s="25">
        <f>'STUFFING REPORT'!B51</f>
        <v>0.0</v>
      </c>
      <c r="C40" s="20">
        <f>'STUFFING REPORT'!F51</f>
        <v>500.0</v>
      </c>
      <c r="D40" s="20"/>
      <c r="E40" s="20">
        <f t="shared" si="6"/>
        <v>0.0</v>
      </c>
      <c r="F40" s="20">
        <v>0.012</v>
      </c>
      <c r="G40" s="20"/>
      <c r="H40" s="20"/>
      <c r="I40" s="20"/>
      <c r="J40" s="20"/>
      <c r="K40" s="20"/>
      <c r="L40" s="20">
        <f t="shared" si="7"/>
        <v>0.012</v>
      </c>
    </row>
    <row r="41" spans="8:8" ht="15.0" customHeight="1">
      <c r="A41" s="20">
        <v>32.0</v>
      </c>
      <c r="B41" s="25">
        <f>'STUFFING REPORT'!B52</f>
        <v>0.0</v>
      </c>
      <c r="C41" s="20">
        <f>'STUFFING REPORT'!F52</f>
        <v>500.0</v>
      </c>
      <c r="D41" s="20"/>
      <c r="E41" s="20">
        <f t="shared" si="6"/>
        <v>0.0</v>
      </c>
      <c r="F41" s="20">
        <v>0.012</v>
      </c>
      <c r="G41" s="20"/>
      <c r="H41" s="20"/>
      <c r="I41" s="20"/>
      <c r="J41" s="20"/>
      <c r="K41" s="20"/>
      <c r="L41" s="20">
        <f t="shared" si="7"/>
        <v>0.012</v>
      </c>
    </row>
    <row r="42" spans="8:8" ht="15.0" customHeight="1">
      <c r="A42" s="20">
        <v>33.0</v>
      </c>
      <c r="B42" s="25">
        <f>'STUFFING REPORT'!B53</f>
        <v>0.0</v>
      </c>
      <c r="C42" s="20">
        <f>'STUFFING REPORT'!F53</f>
        <v>500.0</v>
      </c>
      <c r="D42" s="20"/>
      <c r="E42" s="20">
        <f t="shared" si="6"/>
        <v>0.0</v>
      </c>
      <c r="F42" s="20">
        <v>0.012</v>
      </c>
      <c r="G42" s="20"/>
      <c r="H42" s="20"/>
      <c r="I42" s="20"/>
      <c r="J42" s="20"/>
      <c r="K42" s="20"/>
      <c r="L42" s="20">
        <f t="shared" si="7"/>
        <v>0.012</v>
      </c>
    </row>
    <row r="43" spans="8:8" ht="15.0" customHeight="1">
      <c r="A43" s="20">
        <v>34.0</v>
      </c>
      <c r="B43" s="25">
        <f>'STUFFING REPORT'!B54</f>
        <v>0.0</v>
      </c>
      <c r="C43" s="20">
        <f>'STUFFING REPORT'!F54</f>
        <v>500.0</v>
      </c>
      <c r="D43" s="20"/>
      <c r="E43" s="20">
        <f t="shared" si="6"/>
        <v>0.0</v>
      </c>
      <c r="F43" s="20">
        <v>0.012</v>
      </c>
      <c r="G43" s="20"/>
      <c r="H43" s="20"/>
      <c r="I43" s="20"/>
      <c r="J43" s="20"/>
      <c r="K43" s="20"/>
      <c r="L43" s="20">
        <f t="shared" si="7"/>
        <v>0.012</v>
      </c>
    </row>
    <row r="44" spans="8:8" ht="15.0" customHeight="1">
      <c r="A44" s="20">
        <v>35.0</v>
      </c>
      <c r="B44" s="25">
        <f>'STUFFING REPORT'!B55</f>
        <v>0.0</v>
      </c>
      <c r="C44" s="20">
        <f>'STUFFING REPORT'!F55</f>
        <v>500.0</v>
      </c>
      <c r="D44" s="20"/>
      <c r="E44" s="20">
        <f t="shared" si="6"/>
        <v>0.0</v>
      </c>
      <c r="F44" s="20">
        <v>0.012</v>
      </c>
      <c r="G44" s="20"/>
      <c r="H44" s="20"/>
      <c r="I44" s="20"/>
      <c r="J44" s="20"/>
      <c r="K44" s="20"/>
      <c r="L44" s="20">
        <f t="shared" si="7"/>
        <v>0.012</v>
      </c>
    </row>
    <row r="45" spans="8:8" ht="15.0" customHeight="1">
      <c r="A45" s="20">
        <v>36.0</v>
      </c>
      <c r="B45" s="25">
        <f>'STUFFING REPORT'!B56</f>
        <v>0.0</v>
      </c>
      <c r="C45" s="20">
        <f>'STUFFING REPORT'!F56</f>
        <v>500.0</v>
      </c>
      <c r="D45" s="20"/>
      <c r="E45" s="20">
        <f t="shared" si="6"/>
        <v>0.0</v>
      </c>
      <c r="F45" s="20">
        <v>0.012</v>
      </c>
      <c r="G45" s="20"/>
      <c r="H45" s="20"/>
      <c r="I45" s="20"/>
      <c r="J45" s="20"/>
      <c r="K45" s="20"/>
      <c r="L45" s="20">
        <f t="shared" si="7"/>
        <v>0.012</v>
      </c>
    </row>
    <row r="46" spans="8:8" ht="15.0" customHeight="1">
      <c r="A46" s="20">
        <v>37.0</v>
      </c>
      <c r="B46" s="25">
        <f>'STUFFING REPORT'!B57</f>
        <v>0.0</v>
      </c>
      <c r="C46" s="20">
        <f>'STUFFING REPORT'!F57</f>
        <v>500.0</v>
      </c>
      <c r="D46" s="20"/>
      <c r="E46" s="20">
        <f t="shared" si="6"/>
        <v>0.0</v>
      </c>
      <c r="F46" s="20">
        <v>0.012</v>
      </c>
      <c r="G46" s="20"/>
      <c r="H46" s="20"/>
      <c r="I46" s="20"/>
      <c r="J46" s="20"/>
      <c r="K46" s="20"/>
      <c r="L46" s="20">
        <f t="shared" si="7"/>
        <v>0.012</v>
      </c>
    </row>
    <row r="47" spans="8:8" ht="15.0" customHeight="1">
      <c r="A47" s="20">
        <v>38.0</v>
      </c>
      <c r="B47" s="25">
        <f>'STUFFING REPORT'!B58</f>
        <v>0.0</v>
      </c>
      <c r="C47" s="20">
        <f>'STUFFING REPORT'!F58</f>
        <v>500.0</v>
      </c>
      <c r="D47" s="20"/>
      <c r="E47" s="20">
        <f t="shared" si="6"/>
        <v>0.0</v>
      </c>
      <c r="F47" s="20">
        <v>0.012</v>
      </c>
      <c r="G47" s="20"/>
      <c r="H47" s="20"/>
      <c r="I47" s="20"/>
      <c r="J47" s="20"/>
      <c r="K47" s="20"/>
      <c r="L47" s="20">
        <f t="shared" si="7"/>
        <v>0.012</v>
      </c>
    </row>
    <row r="48" spans="8:8" ht="15.0" customHeight="1">
      <c r="A48" s="20">
        <v>39.0</v>
      </c>
      <c r="B48" s="25">
        <f>'STUFFING REPORT'!B59</f>
        <v>0.0</v>
      </c>
      <c r="C48" s="20">
        <f>'STUFFING REPORT'!F59</f>
        <v>500.0</v>
      </c>
      <c r="D48" s="20"/>
      <c r="E48" s="20">
        <f t="shared" si="6"/>
        <v>0.0</v>
      </c>
      <c r="F48" s="20">
        <v>0.012</v>
      </c>
      <c r="G48" s="20"/>
      <c r="H48" s="20"/>
      <c r="I48" s="20"/>
      <c r="J48" s="20"/>
      <c r="K48" s="20"/>
      <c r="L48" s="20">
        <f t="shared" si="7"/>
        <v>0.012</v>
      </c>
    </row>
    <row r="49" spans="8:8" ht="15.0" customHeight="1">
      <c r="A49" s="20">
        <v>40.0</v>
      </c>
      <c r="B49" s="25">
        <f>'STUFFING REPORT'!B60</f>
        <v>0.0</v>
      </c>
      <c r="C49" s="20">
        <f>'STUFFING REPORT'!F60</f>
        <v>500.0</v>
      </c>
      <c r="D49" s="20"/>
      <c r="E49" s="20">
        <f t="shared" si="6"/>
        <v>0.0</v>
      </c>
      <c r="F49" s="20">
        <v>0.012</v>
      </c>
      <c r="G49" s="20"/>
      <c r="H49" s="20"/>
      <c r="I49" s="20"/>
      <c r="J49" s="20"/>
      <c r="K49" s="20"/>
      <c r="L49" s="20">
        <f t="shared" si="7"/>
        <v>0.012</v>
      </c>
    </row>
  </sheetData>
  <mergeCells count="16">
    <mergeCell ref="L8:L9"/>
    <mergeCell ref="E8:E9"/>
    <mergeCell ref="F8:J8"/>
    <mergeCell ref="A2:L2"/>
    <mergeCell ref="B5:D5"/>
    <mergeCell ref="A8:A9"/>
    <mergeCell ref="E6:H6"/>
    <mergeCell ref="D8:D9"/>
    <mergeCell ref="E5:H5"/>
    <mergeCell ref="B8:B9"/>
    <mergeCell ref="I4:L4"/>
    <mergeCell ref="C8:C9"/>
    <mergeCell ref="B4:D4"/>
    <mergeCell ref="K8:K9"/>
    <mergeCell ref="B6:D6"/>
    <mergeCell ref="E4:H4"/>
  </mergeCells>
  <pageMargins left="0.75" right="0.75" top="1.0" bottom="1.0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P48"/>
  <sheetViews>
    <sheetView workbookViewId="0" zoomScale="66">
      <selection activeCell="A36" sqref="A36:XFD48"/>
    </sheetView>
  </sheetViews>
  <sheetFormatPr defaultRowHeight="15.0" customHeight="1" defaultColWidth="13"/>
  <cols>
    <col min="1" max="1" customWidth="1" width="12.238281" style="0"/>
    <col min="2" max="2" customWidth="1" width="18.964844" style="0"/>
    <col min="3" max="3" customWidth="1" width="9.4140625" style="0"/>
    <col min="4" max="6" customWidth="1" width="8.7421875" style="0"/>
    <col min="7" max="7" customWidth="1" width="9.816406" style="0"/>
    <col min="8" max="9" customWidth="1" width="8.7421875" style="0"/>
    <col min="10" max="10" customWidth="1" width="8.339844" style="0"/>
    <col min="11" max="11" customWidth="1" width="9.816406" style="0"/>
    <col min="12" max="12" customWidth="1" width="10.4921875" style="0"/>
  </cols>
  <sheetData>
    <row r="2" spans="8:8" ht="21.0">
      <c r="A2" s="1" t="s">
        <v>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8:8" ht="15.0">
      <c r="A4" s="27" t="s">
        <v>95</v>
      </c>
      <c r="B4" s="4">
        <f>'STUFFING REPORT'!E8</f>
        <v>0.0</v>
      </c>
      <c r="C4" s="42"/>
      <c r="D4" s="42"/>
      <c r="E4" s="42"/>
      <c r="F4" s="6"/>
      <c r="G4" s="40" t="s">
        <v>96</v>
      </c>
      <c r="H4" s="40"/>
      <c r="I4" s="4">
        <f>'STUFFING REPORT'!E5</f>
        <v>0.0</v>
      </c>
      <c r="J4" s="42"/>
      <c r="K4" s="42"/>
      <c r="L4" s="6"/>
    </row>
    <row r="5" spans="8:8" ht="15.0">
      <c r="A5" s="27" t="s">
        <v>97</v>
      </c>
      <c r="B5" s="4">
        <f>'STUFFING REPORT'!E10</f>
        <v>0.0</v>
      </c>
      <c r="C5" s="42"/>
      <c r="D5" s="42"/>
      <c r="E5" s="42"/>
      <c r="F5" s="6"/>
      <c r="G5" s="40" t="s">
        <v>98</v>
      </c>
      <c r="H5" s="40"/>
      <c r="I5" s="4">
        <f>'STUFFING REPORT'!E13</f>
        <v>0.0</v>
      </c>
      <c r="J5" s="42"/>
      <c r="K5" s="42"/>
      <c r="L5" s="6"/>
    </row>
    <row r="6" spans="8:8" ht="15.0">
      <c r="A6" s="27" t="s">
        <v>99</v>
      </c>
      <c r="B6" s="4">
        <f>'STUFFING REPORT'!E11</f>
        <v>0.0</v>
      </c>
      <c r="C6" s="42"/>
      <c r="D6" s="42"/>
      <c r="E6" s="42"/>
      <c r="F6" s="6"/>
      <c r="G6" s="4" t="s">
        <v>100</v>
      </c>
      <c r="H6" s="6"/>
      <c r="I6" s="82">
        <f>'STUFFING REPORT'!F6</f>
        <v>45784.0</v>
      </c>
      <c r="J6" s="83"/>
      <c r="K6" s="83"/>
      <c r="L6" s="84"/>
    </row>
    <row r="8" spans="8:8" ht="38.1" customHeight="1">
      <c r="A8" s="23" t="s">
        <v>101</v>
      </c>
      <c r="B8" s="23" t="s">
        <v>86</v>
      </c>
      <c r="C8" s="24" t="s">
        <v>102</v>
      </c>
      <c r="D8" s="24" t="s">
        <v>103</v>
      </c>
      <c r="E8" s="24" t="s">
        <v>104</v>
      </c>
      <c r="F8" s="24" t="s">
        <v>105</v>
      </c>
      <c r="G8" s="24" t="s">
        <v>106</v>
      </c>
      <c r="H8" s="24" t="s">
        <v>107</v>
      </c>
      <c r="I8" s="23" t="s">
        <v>108</v>
      </c>
      <c r="J8" s="24" t="s">
        <v>109</v>
      </c>
      <c r="K8" s="24" t="s">
        <v>110</v>
      </c>
      <c r="L8" s="24" t="s">
        <v>111</v>
      </c>
    </row>
    <row r="9" spans="8:8" ht="15.0">
      <c r="A9" s="20">
        <v>1.0</v>
      </c>
      <c r="B9" s="25">
        <f>'STUFFING REPORT'!B21</f>
        <v>0.0</v>
      </c>
      <c r="C9" s="20" t="s">
        <v>18</v>
      </c>
      <c r="D9" s="20" t="s">
        <v>112</v>
      </c>
      <c r="E9" s="20" t="s">
        <v>18</v>
      </c>
      <c r="F9" s="20" t="s">
        <v>36</v>
      </c>
      <c r="G9" s="20" t="s">
        <v>36</v>
      </c>
      <c r="H9" s="20" t="s">
        <v>36</v>
      </c>
      <c r="I9" s="20"/>
      <c r="J9" s="20" t="s">
        <v>113</v>
      </c>
      <c r="K9" s="20" t="s">
        <v>114</v>
      </c>
      <c r="L9" s="20" t="s">
        <v>36</v>
      </c>
    </row>
    <row r="10" spans="8:8" ht="15.0">
      <c r="A10" s="20">
        <v>2.0</v>
      </c>
      <c r="B10" s="25">
        <f>'STUFFING REPORT'!B22</f>
        <v>0.0</v>
      </c>
      <c r="C10" s="20" t="s">
        <v>18</v>
      </c>
      <c r="D10" s="20" t="s">
        <v>112</v>
      </c>
      <c r="E10" s="20" t="s">
        <v>18</v>
      </c>
      <c r="F10" s="20" t="s">
        <v>36</v>
      </c>
      <c r="G10" s="20" t="s">
        <v>36</v>
      </c>
      <c r="H10" s="20" t="s">
        <v>36</v>
      </c>
      <c r="I10" s="20"/>
      <c r="J10" s="20" t="s">
        <v>113</v>
      </c>
      <c r="K10" s="20" t="s">
        <v>114</v>
      </c>
      <c r="L10" s="20" t="s">
        <v>36</v>
      </c>
    </row>
    <row r="11" spans="8:8" ht="15.0">
      <c r="A11" s="20">
        <v>3.0</v>
      </c>
      <c r="B11" s="25">
        <f>'STUFFING REPORT'!B23</f>
        <v>0.0</v>
      </c>
      <c r="C11" s="20" t="s">
        <v>18</v>
      </c>
      <c r="D11" s="20" t="s">
        <v>112</v>
      </c>
      <c r="E11" s="20" t="s">
        <v>18</v>
      </c>
      <c r="F11" s="20" t="s">
        <v>36</v>
      </c>
      <c r="G11" s="20" t="s">
        <v>36</v>
      </c>
      <c r="H11" s="20" t="s">
        <v>36</v>
      </c>
      <c r="I11" s="20"/>
      <c r="J11" s="20" t="s">
        <v>113</v>
      </c>
      <c r="K11" s="20" t="s">
        <v>114</v>
      </c>
      <c r="L11" s="20" t="s">
        <v>36</v>
      </c>
    </row>
    <row r="12" spans="8:8" ht="15.0">
      <c r="A12" s="20">
        <v>4.0</v>
      </c>
      <c r="B12" s="25">
        <f>'STUFFING REPORT'!B24</f>
        <v>0.0</v>
      </c>
      <c r="C12" s="20" t="s">
        <v>18</v>
      </c>
      <c r="D12" s="20" t="s">
        <v>112</v>
      </c>
      <c r="E12" s="20" t="s">
        <v>18</v>
      </c>
      <c r="F12" s="20" t="s">
        <v>36</v>
      </c>
      <c r="G12" s="20" t="s">
        <v>36</v>
      </c>
      <c r="H12" s="20" t="s">
        <v>36</v>
      </c>
      <c r="I12" s="20"/>
      <c r="J12" s="20" t="s">
        <v>113</v>
      </c>
      <c r="K12" s="20" t="s">
        <v>114</v>
      </c>
      <c r="L12" s="20" t="s">
        <v>36</v>
      </c>
    </row>
    <row r="13" spans="8:8" ht="15.0">
      <c r="A13" s="20">
        <v>5.0</v>
      </c>
      <c r="B13" s="85">
        <f>'STUFFING REPORT'!B25</f>
        <v>0.0</v>
      </c>
      <c r="C13" s="20" t="s">
        <v>18</v>
      </c>
      <c r="D13" s="20" t="s">
        <v>112</v>
      </c>
      <c r="E13" s="20" t="s">
        <v>18</v>
      </c>
      <c r="F13" s="20" t="s">
        <v>36</v>
      </c>
      <c r="G13" s="20" t="s">
        <v>36</v>
      </c>
      <c r="H13" s="20" t="s">
        <v>36</v>
      </c>
      <c r="I13" s="20"/>
      <c r="J13" s="20" t="s">
        <v>113</v>
      </c>
      <c r="K13" s="20" t="s">
        <v>114</v>
      </c>
      <c r="L13" s="20" t="s">
        <v>36</v>
      </c>
    </row>
    <row r="14" spans="8:8" ht="15.0">
      <c r="A14" s="20">
        <v>6.0</v>
      </c>
      <c r="B14" s="25">
        <f>'STUFFING REPORT'!B26</f>
        <v>0.0</v>
      </c>
      <c r="C14" s="20" t="s">
        <v>18</v>
      </c>
      <c r="D14" s="20" t="s">
        <v>112</v>
      </c>
      <c r="E14" s="20" t="s">
        <v>18</v>
      </c>
      <c r="F14" s="20" t="s">
        <v>36</v>
      </c>
      <c r="G14" s="20" t="s">
        <v>36</v>
      </c>
      <c r="H14" s="20" t="s">
        <v>36</v>
      </c>
      <c r="I14" s="20"/>
      <c r="J14" s="20" t="s">
        <v>113</v>
      </c>
      <c r="K14" s="20" t="s">
        <v>114</v>
      </c>
      <c r="L14" s="20" t="s">
        <v>36</v>
      </c>
    </row>
    <row r="15" spans="8:8" ht="15.0">
      <c r="A15" s="20">
        <v>7.0</v>
      </c>
      <c r="B15" s="85">
        <f>'STUFFING REPORT'!B27</f>
        <v>0.0</v>
      </c>
      <c r="C15" s="20" t="s">
        <v>18</v>
      </c>
      <c r="D15" s="20" t="s">
        <v>112</v>
      </c>
      <c r="E15" s="20" t="s">
        <v>18</v>
      </c>
      <c r="F15" s="20" t="s">
        <v>36</v>
      </c>
      <c r="G15" s="20" t="s">
        <v>36</v>
      </c>
      <c r="H15" s="20" t="s">
        <v>36</v>
      </c>
      <c r="I15" s="20"/>
      <c r="J15" s="20" t="s">
        <v>113</v>
      </c>
      <c r="K15" s="20" t="s">
        <v>114</v>
      </c>
      <c r="L15" s="20" t="s">
        <v>36</v>
      </c>
    </row>
    <row r="16" spans="8:8" ht="15.0">
      <c r="A16" s="20">
        <v>8.0</v>
      </c>
      <c r="B16" s="25">
        <f>'STUFFING REPORT'!B28</f>
        <v>0.0</v>
      </c>
      <c r="C16" s="20" t="s">
        <v>18</v>
      </c>
      <c r="D16" s="20" t="s">
        <v>112</v>
      </c>
      <c r="E16" s="20" t="s">
        <v>18</v>
      </c>
      <c r="F16" s="20" t="s">
        <v>36</v>
      </c>
      <c r="G16" s="20" t="s">
        <v>36</v>
      </c>
      <c r="H16" s="20" t="s">
        <v>36</v>
      </c>
      <c r="I16" s="20"/>
      <c r="J16" s="20" t="s">
        <v>113</v>
      </c>
      <c r="K16" s="20" t="s">
        <v>114</v>
      </c>
      <c r="L16" s="20" t="s">
        <v>36</v>
      </c>
    </row>
    <row r="17" spans="8:8" ht="15.0">
      <c r="A17" s="20">
        <v>9.0</v>
      </c>
      <c r="B17" s="85">
        <f>'STUFFING REPORT'!B29</f>
        <v>0.0</v>
      </c>
      <c r="C17" s="20" t="s">
        <v>18</v>
      </c>
      <c r="D17" s="20" t="s">
        <v>112</v>
      </c>
      <c r="E17" s="20" t="s">
        <v>18</v>
      </c>
      <c r="F17" s="20" t="s">
        <v>36</v>
      </c>
      <c r="G17" s="20" t="s">
        <v>36</v>
      </c>
      <c r="H17" s="20" t="s">
        <v>36</v>
      </c>
      <c r="I17" s="20"/>
      <c r="J17" s="20" t="s">
        <v>113</v>
      </c>
      <c r="K17" s="20" t="s">
        <v>114</v>
      </c>
      <c r="L17" s="20" t="s">
        <v>36</v>
      </c>
    </row>
    <row r="18" spans="8:8" ht="15.0">
      <c r="A18" s="20">
        <v>10.0</v>
      </c>
      <c r="B18" s="25">
        <f>'STUFFING REPORT'!B30</f>
        <v>0.0</v>
      </c>
      <c r="C18" s="20" t="s">
        <v>18</v>
      </c>
      <c r="D18" s="20" t="s">
        <v>112</v>
      </c>
      <c r="E18" s="20" t="s">
        <v>18</v>
      </c>
      <c r="F18" s="20" t="s">
        <v>36</v>
      </c>
      <c r="G18" s="20" t="s">
        <v>36</v>
      </c>
      <c r="H18" s="20" t="s">
        <v>36</v>
      </c>
      <c r="I18" s="20"/>
      <c r="J18" s="20" t="s">
        <v>113</v>
      </c>
      <c r="K18" s="20" t="s">
        <v>114</v>
      </c>
      <c r="L18" s="20" t="s">
        <v>36</v>
      </c>
    </row>
    <row r="19" spans="8:8" ht="15.0">
      <c r="A19" s="20">
        <v>11.0</v>
      </c>
      <c r="B19" s="25">
        <f>'STUFFING REPORT'!B31</f>
        <v>0.0</v>
      </c>
      <c r="C19" s="20" t="s">
        <v>18</v>
      </c>
      <c r="D19" s="20" t="s">
        <v>112</v>
      </c>
      <c r="E19" s="20" t="s">
        <v>18</v>
      </c>
      <c r="F19" s="20" t="s">
        <v>36</v>
      </c>
      <c r="G19" s="20" t="s">
        <v>36</v>
      </c>
      <c r="H19" s="20" t="s">
        <v>36</v>
      </c>
      <c r="I19" s="20"/>
      <c r="J19" s="20" t="s">
        <v>113</v>
      </c>
      <c r="K19" s="20" t="s">
        <v>114</v>
      </c>
      <c r="L19" s="20" t="s">
        <v>36</v>
      </c>
    </row>
    <row r="20" spans="8:8" ht="15.0">
      <c r="A20" s="20">
        <v>12.0</v>
      </c>
      <c r="B20" s="25">
        <f>'STUFFING REPORT'!B32</f>
        <v>0.0</v>
      </c>
      <c r="C20" s="20" t="s">
        <v>18</v>
      </c>
      <c r="D20" s="20" t="s">
        <v>112</v>
      </c>
      <c r="E20" s="20" t="s">
        <v>18</v>
      </c>
      <c r="F20" s="20" t="s">
        <v>36</v>
      </c>
      <c r="G20" s="20" t="s">
        <v>36</v>
      </c>
      <c r="H20" s="20" t="s">
        <v>36</v>
      </c>
      <c r="I20" s="20"/>
      <c r="J20" s="20" t="s">
        <v>113</v>
      </c>
      <c r="K20" s="20" t="s">
        <v>114</v>
      </c>
      <c r="L20" s="20" t="s">
        <v>36</v>
      </c>
    </row>
    <row r="21" spans="8:8" ht="15.0">
      <c r="A21" s="20">
        <v>13.0</v>
      </c>
      <c r="B21" s="25">
        <f>'STUFFING REPORT'!B33</f>
        <v>0.0</v>
      </c>
      <c r="C21" s="20" t="s">
        <v>18</v>
      </c>
      <c r="D21" s="20" t="s">
        <v>112</v>
      </c>
      <c r="E21" s="20" t="s">
        <v>18</v>
      </c>
      <c r="F21" s="20" t="s">
        <v>36</v>
      </c>
      <c r="G21" s="20" t="s">
        <v>36</v>
      </c>
      <c r="H21" s="20" t="s">
        <v>36</v>
      </c>
      <c r="I21" s="20"/>
      <c r="J21" s="20" t="s">
        <v>113</v>
      </c>
      <c r="K21" s="20" t="s">
        <v>114</v>
      </c>
      <c r="L21" s="20" t="s">
        <v>36</v>
      </c>
    </row>
    <row r="22" spans="8:8" ht="15.0">
      <c r="A22" s="20">
        <v>14.0</v>
      </c>
      <c r="B22" s="25">
        <f>'STUFFING REPORT'!B34</f>
        <v>0.0</v>
      </c>
      <c r="C22" s="20" t="s">
        <v>18</v>
      </c>
      <c r="D22" s="20" t="s">
        <v>112</v>
      </c>
      <c r="E22" s="20" t="s">
        <v>18</v>
      </c>
      <c r="F22" s="20" t="s">
        <v>36</v>
      </c>
      <c r="G22" s="20" t="s">
        <v>36</v>
      </c>
      <c r="H22" s="20" t="s">
        <v>36</v>
      </c>
      <c r="I22" s="20"/>
      <c r="J22" s="20" t="s">
        <v>113</v>
      </c>
      <c r="K22" s="20" t="s">
        <v>114</v>
      </c>
      <c r="L22" s="20" t="s">
        <v>36</v>
      </c>
    </row>
    <row r="23" spans="8:8" ht="15.0">
      <c r="A23" s="20">
        <v>15.0</v>
      </c>
      <c r="B23" s="25">
        <f>'STUFFING REPORT'!B35</f>
        <v>0.0</v>
      </c>
      <c r="C23" s="20" t="s">
        <v>18</v>
      </c>
      <c r="D23" s="20" t="s">
        <v>112</v>
      </c>
      <c r="E23" s="20" t="s">
        <v>18</v>
      </c>
      <c r="F23" s="20" t="s">
        <v>36</v>
      </c>
      <c r="G23" s="20" t="s">
        <v>36</v>
      </c>
      <c r="H23" s="20" t="s">
        <v>36</v>
      </c>
      <c r="I23" s="20"/>
      <c r="J23" s="20" t="s">
        <v>113</v>
      </c>
      <c r="K23" s="20" t="s">
        <v>114</v>
      </c>
      <c r="L23" s="20" t="s">
        <v>36</v>
      </c>
    </row>
    <row r="24" spans="8:8" ht="15.0">
      <c r="A24" s="20">
        <v>16.0</v>
      </c>
      <c r="B24" s="25">
        <f>'STUFFING REPORT'!B36</f>
        <v>0.0</v>
      </c>
      <c r="C24" s="20" t="s">
        <v>18</v>
      </c>
      <c r="D24" s="20" t="s">
        <v>112</v>
      </c>
      <c r="E24" s="20" t="s">
        <v>18</v>
      </c>
      <c r="F24" s="20" t="s">
        <v>36</v>
      </c>
      <c r="G24" s="20" t="s">
        <v>36</v>
      </c>
      <c r="H24" s="20" t="s">
        <v>36</v>
      </c>
      <c r="I24" s="20"/>
      <c r="J24" s="20" t="s">
        <v>113</v>
      </c>
      <c r="K24" s="20" t="s">
        <v>114</v>
      </c>
      <c r="L24" s="20" t="s">
        <v>36</v>
      </c>
    </row>
    <row r="25" spans="8:8" ht="15.0">
      <c r="A25" s="20">
        <v>17.0</v>
      </c>
      <c r="B25" s="25">
        <f>'STUFFING REPORT'!B37</f>
        <v>0.0</v>
      </c>
      <c r="C25" s="20" t="s">
        <v>18</v>
      </c>
      <c r="D25" s="20" t="s">
        <v>112</v>
      </c>
      <c r="E25" s="20" t="s">
        <v>18</v>
      </c>
      <c r="F25" s="20" t="s">
        <v>36</v>
      </c>
      <c r="G25" s="20" t="s">
        <v>36</v>
      </c>
      <c r="H25" s="20" t="s">
        <v>36</v>
      </c>
      <c r="I25" s="20"/>
      <c r="J25" s="20" t="s">
        <v>113</v>
      </c>
      <c r="K25" s="20" t="s">
        <v>114</v>
      </c>
      <c r="L25" s="20" t="s">
        <v>36</v>
      </c>
    </row>
    <row r="26" spans="8:8" ht="15.0">
      <c r="A26" s="20">
        <v>18.0</v>
      </c>
      <c r="B26" s="25">
        <f>'STUFFING REPORT'!B38</f>
        <v>0.0</v>
      </c>
      <c r="C26" s="20" t="s">
        <v>18</v>
      </c>
      <c r="D26" s="20" t="s">
        <v>112</v>
      </c>
      <c r="E26" s="20" t="s">
        <v>18</v>
      </c>
      <c r="F26" s="20" t="s">
        <v>36</v>
      </c>
      <c r="G26" s="20" t="s">
        <v>36</v>
      </c>
      <c r="H26" s="20" t="s">
        <v>36</v>
      </c>
      <c r="I26" s="20"/>
      <c r="J26" s="20" t="s">
        <v>113</v>
      </c>
      <c r="K26" s="20" t="s">
        <v>114</v>
      </c>
      <c r="L26" s="20" t="s">
        <v>36</v>
      </c>
    </row>
    <row r="27" spans="8:8" ht="15.0">
      <c r="A27" s="20">
        <v>19.0</v>
      </c>
      <c r="B27" s="25">
        <f>'STUFFING REPORT'!B39</f>
        <v>0.0</v>
      </c>
      <c r="C27" s="20" t="s">
        <v>18</v>
      </c>
      <c r="D27" s="20" t="s">
        <v>112</v>
      </c>
      <c r="E27" s="20" t="s">
        <v>18</v>
      </c>
      <c r="F27" s="20" t="s">
        <v>36</v>
      </c>
      <c r="G27" s="20" t="s">
        <v>36</v>
      </c>
      <c r="H27" s="20" t="s">
        <v>36</v>
      </c>
      <c r="I27" s="20"/>
      <c r="J27" s="20" t="s">
        <v>113</v>
      </c>
      <c r="K27" s="20" t="s">
        <v>114</v>
      </c>
      <c r="L27" s="20" t="s">
        <v>36</v>
      </c>
    </row>
    <row r="28" spans="8:8" ht="15.0">
      <c r="A28" s="20">
        <v>20.0</v>
      </c>
      <c r="B28" s="25">
        <f>'STUFFING REPORT'!B40</f>
        <v>0.0</v>
      </c>
      <c r="C28" s="20" t="s">
        <v>18</v>
      </c>
      <c r="D28" s="20" t="s">
        <v>112</v>
      </c>
      <c r="E28" s="20" t="s">
        <v>18</v>
      </c>
      <c r="F28" s="20" t="s">
        <v>36</v>
      </c>
      <c r="G28" s="20" t="s">
        <v>36</v>
      </c>
      <c r="H28" s="20" t="s">
        <v>36</v>
      </c>
      <c r="I28" s="20"/>
      <c r="J28" s="20" t="s">
        <v>113</v>
      </c>
      <c r="K28" s="20" t="s">
        <v>114</v>
      </c>
      <c r="L28" s="20" t="s">
        <v>36</v>
      </c>
    </row>
    <row r="29" spans="8:8" ht="15.0">
      <c r="A29" s="20">
        <v>21.0</v>
      </c>
      <c r="B29" s="25">
        <f>'STUFFING REPORT'!B41</f>
        <v>0.0</v>
      </c>
      <c r="C29" s="20" t="s">
        <v>18</v>
      </c>
      <c r="D29" s="20" t="s">
        <v>112</v>
      </c>
      <c r="E29" s="20" t="s">
        <v>18</v>
      </c>
      <c r="F29" s="20" t="s">
        <v>36</v>
      </c>
      <c r="G29" s="20" t="s">
        <v>36</v>
      </c>
      <c r="H29" s="20" t="s">
        <v>36</v>
      </c>
      <c r="I29" s="20"/>
      <c r="J29" s="20" t="s">
        <v>113</v>
      </c>
      <c r="K29" s="20" t="s">
        <v>114</v>
      </c>
      <c r="L29" s="20" t="s">
        <v>36</v>
      </c>
    </row>
    <row r="30" spans="8:8" ht="15.0">
      <c r="A30" s="20">
        <v>22.0</v>
      </c>
      <c r="B30" s="25">
        <f>'STUFFING REPORT'!B42</f>
        <v>0.0</v>
      </c>
      <c r="C30" s="20" t="s">
        <v>18</v>
      </c>
      <c r="D30" s="20" t="s">
        <v>112</v>
      </c>
      <c r="E30" s="20" t="s">
        <v>18</v>
      </c>
      <c r="F30" s="20" t="s">
        <v>36</v>
      </c>
      <c r="G30" s="20" t="s">
        <v>36</v>
      </c>
      <c r="H30" s="20" t="s">
        <v>36</v>
      </c>
      <c r="I30" s="20"/>
      <c r="J30" s="20" t="s">
        <v>113</v>
      </c>
      <c r="K30" s="20" t="s">
        <v>114</v>
      </c>
      <c r="L30" s="20" t="s">
        <v>36</v>
      </c>
    </row>
    <row r="31" spans="8:8" ht="15.0">
      <c r="A31" s="20">
        <v>23.0</v>
      </c>
      <c r="B31" s="25">
        <f>'STUFFING REPORT'!B43</f>
        <v>0.0</v>
      </c>
      <c r="C31" s="20" t="s">
        <v>18</v>
      </c>
      <c r="D31" s="20" t="s">
        <v>112</v>
      </c>
      <c r="E31" s="20" t="s">
        <v>18</v>
      </c>
      <c r="F31" s="20" t="s">
        <v>36</v>
      </c>
      <c r="G31" s="20" t="s">
        <v>36</v>
      </c>
      <c r="H31" s="20" t="s">
        <v>36</v>
      </c>
      <c r="I31" s="20"/>
      <c r="J31" s="20" t="s">
        <v>113</v>
      </c>
      <c r="K31" s="20" t="s">
        <v>114</v>
      </c>
      <c r="L31" s="20" t="s">
        <v>36</v>
      </c>
    </row>
    <row r="32" spans="8:8" ht="15.0">
      <c r="A32" s="20">
        <v>24.0</v>
      </c>
      <c r="B32" s="25">
        <f>'STUFFING REPORT'!B44</f>
        <v>0.0</v>
      </c>
      <c r="C32" s="20" t="s">
        <v>18</v>
      </c>
      <c r="D32" s="20" t="s">
        <v>112</v>
      </c>
      <c r="E32" s="20" t="s">
        <v>18</v>
      </c>
      <c r="F32" s="20" t="s">
        <v>36</v>
      </c>
      <c r="G32" s="20" t="s">
        <v>36</v>
      </c>
      <c r="H32" s="20" t="s">
        <v>36</v>
      </c>
      <c r="I32" s="20"/>
      <c r="J32" s="20" t="s">
        <v>113</v>
      </c>
      <c r="K32" s="20" t="s">
        <v>114</v>
      </c>
      <c r="L32" s="20" t="s">
        <v>36</v>
      </c>
    </row>
    <row r="33" spans="8:8" ht="15.0">
      <c r="A33" s="20">
        <v>25.0</v>
      </c>
      <c r="B33" s="25">
        <f>'STUFFING REPORT'!B45</f>
        <v>0.0</v>
      </c>
      <c r="C33" s="20" t="s">
        <v>18</v>
      </c>
      <c r="D33" s="20" t="s">
        <v>112</v>
      </c>
      <c r="E33" s="20" t="s">
        <v>18</v>
      </c>
      <c r="F33" s="20" t="s">
        <v>36</v>
      </c>
      <c r="G33" s="20" t="s">
        <v>36</v>
      </c>
      <c r="H33" s="20" t="s">
        <v>36</v>
      </c>
      <c r="I33" s="20"/>
      <c r="J33" s="20" t="s">
        <v>113</v>
      </c>
      <c r="K33" s="20" t="s">
        <v>114</v>
      </c>
      <c r="L33" s="20" t="s">
        <v>36</v>
      </c>
    </row>
    <row r="34" spans="8:8" ht="15.0">
      <c r="A34" s="20">
        <v>26.0</v>
      </c>
      <c r="B34" s="25">
        <f>'STUFFING REPORT'!B46</f>
        <v>0.0</v>
      </c>
      <c r="C34" s="20" t="s">
        <v>18</v>
      </c>
      <c r="D34" s="20" t="s">
        <v>112</v>
      </c>
      <c r="E34" s="20" t="s">
        <v>18</v>
      </c>
      <c r="F34" s="20" t="s">
        <v>36</v>
      </c>
      <c r="G34" s="20" t="s">
        <v>36</v>
      </c>
      <c r="H34" s="20" t="s">
        <v>36</v>
      </c>
      <c r="I34" s="20"/>
      <c r="J34" s="20" t="s">
        <v>113</v>
      </c>
      <c r="K34" s="20" t="s">
        <v>114</v>
      </c>
      <c r="L34" s="20" t="s">
        <v>36</v>
      </c>
    </row>
    <row r="35" spans="8:8" ht="15.0">
      <c r="A35" s="20">
        <v>27.0</v>
      </c>
      <c r="B35" s="25">
        <f>'STUFFING REPORT'!B47</f>
        <v>0.0</v>
      </c>
      <c r="C35" s="20" t="s">
        <v>18</v>
      </c>
      <c r="D35" s="20" t="s">
        <v>112</v>
      </c>
      <c r="E35" s="20" t="s">
        <v>18</v>
      </c>
      <c r="F35" s="20" t="s">
        <v>36</v>
      </c>
      <c r="G35" s="20" t="s">
        <v>36</v>
      </c>
      <c r="H35" s="20" t="s">
        <v>36</v>
      </c>
      <c r="I35" s="20"/>
      <c r="J35" s="20" t="s">
        <v>113</v>
      </c>
      <c r="K35" s="20" t="s">
        <v>114</v>
      </c>
      <c r="L35" s="20" t="s">
        <v>36</v>
      </c>
    </row>
    <row r="36" spans="8:8" ht="15.0">
      <c r="A36" s="20">
        <v>28.0</v>
      </c>
      <c r="B36" s="25">
        <f>'STUFFING REPORT'!B48</f>
        <v>0.0</v>
      </c>
      <c r="C36" s="20" t="s">
        <v>18</v>
      </c>
      <c r="D36" s="20" t="s">
        <v>112</v>
      </c>
      <c r="E36" s="20" t="s">
        <v>18</v>
      </c>
      <c r="F36" s="20" t="s">
        <v>36</v>
      </c>
      <c r="G36" s="20" t="s">
        <v>36</v>
      </c>
      <c r="H36" s="20" t="s">
        <v>36</v>
      </c>
      <c r="I36" s="20"/>
      <c r="J36" s="20" t="s">
        <v>113</v>
      </c>
      <c r="K36" s="20" t="s">
        <v>114</v>
      </c>
      <c r="L36" s="20" t="s">
        <v>36</v>
      </c>
    </row>
    <row r="37" spans="8:8" ht="15.0">
      <c r="A37" s="20">
        <v>29.0</v>
      </c>
      <c r="B37" s="25">
        <f>'STUFFING REPORT'!B49</f>
        <v>0.0</v>
      </c>
      <c r="C37" s="20" t="s">
        <v>18</v>
      </c>
      <c r="D37" s="20" t="s">
        <v>112</v>
      </c>
      <c r="E37" s="20" t="s">
        <v>18</v>
      </c>
      <c r="F37" s="20" t="s">
        <v>36</v>
      </c>
      <c r="G37" s="20" t="s">
        <v>36</v>
      </c>
      <c r="H37" s="20" t="s">
        <v>36</v>
      </c>
      <c r="I37" s="20"/>
      <c r="J37" s="20" t="s">
        <v>113</v>
      </c>
      <c r="K37" s="20" t="s">
        <v>114</v>
      </c>
      <c r="L37" s="20" t="s">
        <v>36</v>
      </c>
    </row>
    <row r="38" spans="8:8" ht="15.0">
      <c r="A38" s="20">
        <v>30.0</v>
      </c>
      <c r="B38" s="25">
        <f>'STUFFING REPORT'!B50</f>
        <v>0.0</v>
      </c>
      <c r="C38" s="20" t="s">
        <v>18</v>
      </c>
      <c r="D38" s="20" t="s">
        <v>112</v>
      </c>
      <c r="E38" s="20" t="s">
        <v>18</v>
      </c>
      <c r="F38" s="20" t="s">
        <v>36</v>
      </c>
      <c r="G38" s="20" t="s">
        <v>36</v>
      </c>
      <c r="H38" s="20" t="s">
        <v>36</v>
      </c>
      <c r="I38" s="20"/>
      <c r="J38" s="20" t="s">
        <v>113</v>
      </c>
      <c r="K38" s="20" t="s">
        <v>114</v>
      </c>
      <c r="L38" s="20" t="s">
        <v>36</v>
      </c>
    </row>
    <row r="39" spans="8:8" ht="15.0">
      <c r="A39" s="20">
        <v>31.0</v>
      </c>
      <c r="B39" s="25">
        <f>'STUFFING REPORT'!B51</f>
        <v>0.0</v>
      </c>
      <c r="C39" s="20" t="s">
        <v>18</v>
      </c>
      <c r="D39" s="20" t="s">
        <v>112</v>
      </c>
      <c r="E39" s="20" t="s">
        <v>18</v>
      </c>
      <c r="F39" s="20" t="s">
        <v>36</v>
      </c>
      <c r="G39" s="20" t="s">
        <v>36</v>
      </c>
      <c r="H39" s="20" t="s">
        <v>36</v>
      </c>
      <c r="I39" s="20"/>
      <c r="J39" s="20" t="s">
        <v>113</v>
      </c>
      <c r="K39" s="20" t="s">
        <v>114</v>
      </c>
      <c r="L39" s="20" t="s">
        <v>36</v>
      </c>
    </row>
    <row r="40" spans="8:8" ht="15.0">
      <c r="A40" s="20">
        <v>32.0</v>
      </c>
      <c r="B40" s="25">
        <f>'STUFFING REPORT'!B52</f>
        <v>0.0</v>
      </c>
      <c r="C40" s="20" t="s">
        <v>18</v>
      </c>
      <c r="D40" s="20" t="s">
        <v>112</v>
      </c>
      <c r="E40" s="20" t="s">
        <v>18</v>
      </c>
      <c r="F40" s="20" t="s">
        <v>36</v>
      </c>
      <c r="G40" s="20" t="s">
        <v>36</v>
      </c>
      <c r="H40" s="20" t="s">
        <v>36</v>
      </c>
      <c r="I40" s="20"/>
      <c r="J40" s="20" t="s">
        <v>113</v>
      </c>
      <c r="K40" s="20" t="s">
        <v>114</v>
      </c>
      <c r="L40" s="20" t="s">
        <v>36</v>
      </c>
    </row>
    <row r="41" spans="8:8" ht="15.0">
      <c r="A41" s="20">
        <v>33.0</v>
      </c>
      <c r="B41" s="25">
        <f>'STUFFING REPORT'!B53</f>
        <v>0.0</v>
      </c>
      <c r="C41" s="20" t="s">
        <v>18</v>
      </c>
      <c r="D41" s="20" t="s">
        <v>112</v>
      </c>
      <c r="E41" s="20" t="s">
        <v>18</v>
      </c>
      <c r="F41" s="20" t="s">
        <v>36</v>
      </c>
      <c r="G41" s="20" t="s">
        <v>36</v>
      </c>
      <c r="H41" s="20" t="s">
        <v>36</v>
      </c>
      <c r="I41" s="20"/>
      <c r="J41" s="20" t="s">
        <v>113</v>
      </c>
      <c r="K41" s="20" t="s">
        <v>114</v>
      </c>
      <c r="L41" s="20" t="s">
        <v>36</v>
      </c>
    </row>
    <row r="42" spans="8:8" ht="15.0">
      <c r="A42" s="20">
        <v>34.0</v>
      </c>
      <c r="B42" s="25">
        <f>'STUFFING REPORT'!B54</f>
        <v>0.0</v>
      </c>
      <c r="C42" s="20" t="s">
        <v>18</v>
      </c>
      <c r="D42" s="20" t="s">
        <v>112</v>
      </c>
      <c r="E42" s="20" t="s">
        <v>18</v>
      </c>
      <c r="F42" s="20" t="s">
        <v>36</v>
      </c>
      <c r="G42" s="20" t="s">
        <v>36</v>
      </c>
      <c r="H42" s="20" t="s">
        <v>36</v>
      </c>
      <c r="I42" s="20"/>
      <c r="J42" s="20" t="s">
        <v>113</v>
      </c>
      <c r="K42" s="20" t="s">
        <v>114</v>
      </c>
      <c r="L42" s="20" t="s">
        <v>36</v>
      </c>
    </row>
    <row r="43" spans="8:8" ht="15.0">
      <c r="A43" s="20">
        <v>35.0</v>
      </c>
      <c r="B43" s="25">
        <f>'STUFFING REPORT'!B55</f>
        <v>0.0</v>
      </c>
      <c r="C43" s="20" t="s">
        <v>18</v>
      </c>
      <c r="D43" s="20" t="s">
        <v>112</v>
      </c>
      <c r="E43" s="20" t="s">
        <v>18</v>
      </c>
      <c r="F43" s="20" t="s">
        <v>36</v>
      </c>
      <c r="G43" s="20" t="s">
        <v>36</v>
      </c>
      <c r="H43" s="20" t="s">
        <v>36</v>
      </c>
      <c r="I43" s="20"/>
      <c r="J43" s="20" t="s">
        <v>113</v>
      </c>
      <c r="K43" s="20" t="s">
        <v>114</v>
      </c>
      <c r="L43" s="20" t="s">
        <v>36</v>
      </c>
    </row>
    <row r="44" spans="8:8" ht="15.0">
      <c r="A44" s="20">
        <v>36.0</v>
      </c>
      <c r="B44" s="25">
        <f>'STUFFING REPORT'!B56</f>
        <v>0.0</v>
      </c>
      <c r="C44" s="20" t="s">
        <v>18</v>
      </c>
      <c r="D44" s="20" t="s">
        <v>112</v>
      </c>
      <c r="E44" s="20" t="s">
        <v>18</v>
      </c>
      <c r="F44" s="20" t="s">
        <v>36</v>
      </c>
      <c r="G44" s="20" t="s">
        <v>36</v>
      </c>
      <c r="H44" s="20" t="s">
        <v>36</v>
      </c>
      <c r="I44" s="20"/>
      <c r="J44" s="20" t="s">
        <v>113</v>
      </c>
      <c r="K44" s="20" t="s">
        <v>114</v>
      </c>
      <c r="L44" s="20" t="s">
        <v>36</v>
      </c>
    </row>
    <row r="45" spans="8:8" ht="15.0">
      <c r="A45" s="20">
        <v>37.0</v>
      </c>
      <c r="B45" s="25">
        <f>'STUFFING REPORT'!B57</f>
        <v>0.0</v>
      </c>
      <c r="C45" s="20" t="s">
        <v>18</v>
      </c>
      <c r="D45" s="20" t="s">
        <v>112</v>
      </c>
      <c r="E45" s="20" t="s">
        <v>18</v>
      </c>
      <c r="F45" s="20" t="s">
        <v>36</v>
      </c>
      <c r="G45" s="20" t="s">
        <v>36</v>
      </c>
      <c r="H45" s="20" t="s">
        <v>36</v>
      </c>
      <c r="I45" s="20"/>
      <c r="J45" s="20" t="s">
        <v>113</v>
      </c>
      <c r="K45" s="20" t="s">
        <v>114</v>
      </c>
      <c r="L45" s="20" t="s">
        <v>36</v>
      </c>
    </row>
    <row r="46" spans="8:8" ht="15.0">
      <c r="A46" s="20">
        <v>38.0</v>
      </c>
      <c r="B46" s="25">
        <f>'STUFFING REPORT'!B58</f>
        <v>0.0</v>
      </c>
      <c r="C46" s="20" t="s">
        <v>18</v>
      </c>
      <c r="D46" s="20" t="s">
        <v>112</v>
      </c>
      <c r="E46" s="20" t="s">
        <v>18</v>
      </c>
      <c r="F46" s="20" t="s">
        <v>36</v>
      </c>
      <c r="G46" s="20" t="s">
        <v>36</v>
      </c>
      <c r="H46" s="20" t="s">
        <v>36</v>
      </c>
      <c r="I46" s="20"/>
      <c r="J46" s="20" t="s">
        <v>113</v>
      </c>
      <c r="K46" s="20" t="s">
        <v>114</v>
      </c>
      <c r="L46" s="20" t="s">
        <v>36</v>
      </c>
    </row>
    <row r="47" spans="8:8" ht="15.0">
      <c r="A47" s="20">
        <v>39.0</v>
      </c>
      <c r="B47" s="25">
        <f>'STUFFING REPORT'!B59</f>
        <v>0.0</v>
      </c>
      <c r="C47" s="20" t="s">
        <v>18</v>
      </c>
      <c r="D47" s="20" t="s">
        <v>112</v>
      </c>
      <c r="E47" s="20" t="s">
        <v>18</v>
      </c>
      <c r="F47" s="20" t="s">
        <v>36</v>
      </c>
      <c r="G47" s="20" t="s">
        <v>36</v>
      </c>
      <c r="H47" s="20" t="s">
        <v>36</v>
      </c>
      <c r="I47" s="20"/>
      <c r="J47" s="20" t="s">
        <v>113</v>
      </c>
      <c r="K47" s="20" t="s">
        <v>114</v>
      </c>
      <c r="L47" s="20" t="s">
        <v>36</v>
      </c>
    </row>
    <row r="48" spans="8:8" ht="15.0">
      <c r="A48" s="20">
        <v>40.0</v>
      </c>
      <c r="B48" s="25">
        <f>'STUFFING REPORT'!B60</f>
        <v>0.0</v>
      </c>
      <c r="C48" s="20" t="s">
        <v>18</v>
      </c>
      <c r="D48" s="20" t="s">
        <v>112</v>
      </c>
      <c r="E48" s="20" t="s">
        <v>18</v>
      </c>
      <c r="F48" s="20" t="s">
        <v>36</v>
      </c>
      <c r="G48" s="20" t="s">
        <v>36</v>
      </c>
      <c r="H48" s="20" t="s">
        <v>36</v>
      </c>
      <c r="I48" s="20"/>
      <c r="J48" s="20" t="s">
        <v>113</v>
      </c>
      <c r="K48" s="20" t="s">
        <v>114</v>
      </c>
      <c r="L48" s="20" t="s">
        <v>36</v>
      </c>
    </row>
  </sheetData>
  <mergeCells count="10">
    <mergeCell ref="A2:L2"/>
    <mergeCell ref="B4:F4"/>
    <mergeCell ref="G6:H6"/>
    <mergeCell ref="I5:L5"/>
    <mergeCell ref="I4:L4"/>
    <mergeCell ref="I6:L6"/>
    <mergeCell ref="B5:F5"/>
    <mergeCell ref="G4:H4"/>
    <mergeCell ref="G5:H5"/>
    <mergeCell ref="B6:F6"/>
  </mergeCells>
  <pageMargins left="0.75" right="0.75" top="1.0" bottom="1.0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zinmin_tun</dc:creator>
  <cp:lastModifiedBy>Acer Swift 3</cp:lastModifiedBy>
  <dcterms:created xsi:type="dcterms:W3CDTF">2023-07-29T20:12:00Z</dcterms:created>
  <dcterms:modified xsi:type="dcterms:W3CDTF">2026-10-09T08:27:42Z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53713e6aa87a43f8863aac2e3ba87ba3</vt:lpwstr>
  </property>
  <property fmtid="{D5CDD505-2E9C-101B-9397-08002B2CF9AE}" pid="3" name="KSOProductBuildVer">
    <vt:lpwstr>1033-12.2.0.18586</vt:lpwstr>
  </property>
</Properties>
</file>